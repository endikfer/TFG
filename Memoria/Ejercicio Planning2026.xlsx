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ndika\OneDrive\Documentos\4.carrera\2.semestre\Analitica\Viernes\Ejercicio\"/>
    </mc:Choice>
  </mc:AlternateContent>
  <xr:revisionPtr revIDLastSave="0" documentId="13_ncr:1_{E0146FF0-B947-4501-9CA1-ADB173A2AE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ning" sheetId="9" r:id="rId1"/>
    <sheet name="Dados Virtuales" sheetId="3" r:id="rId2"/>
    <sheet name="Dependencias" sheetId="4" r:id="rId3"/>
    <sheet name="Disclaimer" sheetId="5" r:id="rId4"/>
    <sheet name="Presupuesto" sheetId="10" r:id="rId5"/>
    <sheet name="Break-even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1" l="1"/>
  <c r="B26" i="11"/>
  <c r="B25" i="11"/>
  <c r="B19" i="11"/>
  <c r="B18" i="11"/>
  <c r="B17" i="11"/>
  <c r="B10" i="11"/>
  <c r="B9" i="11"/>
  <c r="Z6" i="10"/>
  <c r="X6" i="10"/>
  <c r="V6" i="10"/>
  <c r="D6" i="10"/>
  <c r="B6" i="10"/>
  <c r="Z5" i="10"/>
  <c r="D5" i="10"/>
  <c r="F5" i="10"/>
  <c r="H5" i="10"/>
  <c r="J5" i="10"/>
  <c r="L5" i="10"/>
  <c r="N5" i="10"/>
  <c r="P5" i="10"/>
  <c r="R5" i="10"/>
  <c r="T5" i="10"/>
  <c r="T6" i="10" s="1"/>
  <c r="V5" i="10"/>
  <c r="X5" i="10"/>
  <c r="B5" i="10"/>
  <c r="E6" i="3"/>
  <c r="J6" i="10" l="1"/>
  <c r="B7" i="10"/>
  <c r="B12" i="11" s="1"/>
  <c r="B11" i="11"/>
  <c r="B20" i="11" l="1"/>
  <c r="B28" i="11"/>
</calcChain>
</file>

<file path=xl/sharedStrings.xml><?xml version="1.0" encoding="utf-8"?>
<sst xmlns="http://schemas.openxmlformats.org/spreadsheetml/2006/main" count="606" uniqueCount="308">
  <si>
    <t>MS1</t>
  </si>
  <si>
    <t>MS2</t>
  </si>
  <si>
    <t>MS3</t>
  </si>
  <si>
    <t>MS4</t>
  </si>
  <si>
    <t>MS5</t>
  </si>
  <si>
    <t>MS6</t>
  </si>
  <si>
    <t>MS7</t>
  </si>
  <si>
    <t>MS8</t>
  </si>
  <si>
    <t>MS9</t>
  </si>
  <si>
    <t>MS11</t>
  </si>
  <si>
    <t>MS12</t>
  </si>
  <si>
    <t>MS13</t>
  </si>
  <si>
    <t>MS14</t>
  </si>
  <si>
    <t>Concept</t>
  </si>
  <si>
    <t>Prepro1-PoC</t>
  </si>
  <si>
    <t>PROD1</t>
  </si>
  <si>
    <t>PROD2</t>
  </si>
  <si>
    <t>PROD3</t>
  </si>
  <si>
    <t>PROD4</t>
  </si>
  <si>
    <t>PROD5</t>
  </si>
  <si>
    <t>ALPHA</t>
  </si>
  <si>
    <t>Ext QA</t>
  </si>
  <si>
    <t>SUBMISSION</t>
  </si>
  <si>
    <t xml:space="preserve">PATCH </t>
  </si>
  <si>
    <t>Sprint1</t>
  </si>
  <si>
    <t>Sprint2</t>
  </si>
  <si>
    <t>Sprint3</t>
  </si>
  <si>
    <t>Sprint4</t>
  </si>
  <si>
    <t>Sprint5</t>
  </si>
  <si>
    <t>Sprint6</t>
  </si>
  <si>
    <t>Sprint7</t>
  </si>
  <si>
    <t>Sprint8</t>
  </si>
  <si>
    <t>Sprint9</t>
  </si>
  <si>
    <t>Sprint10</t>
  </si>
  <si>
    <t>Sprint11</t>
  </si>
  <si>
    <t>Sprint12</t>
  </si>
  <si>
    <t>Sprint13</t>
  </si>
  <si>
    <t>Sprint14</t>
  </si>
  <si>
    <t>Sprint15</t>
  </si>
  <si>
    <t>Sprint16</t>
  </si>
  <si>
    <t>Sprint17</t>
  </si>
  <si>
    <t>Sprint18</t>
  </si>
  <si>
    <t>Sprint21</t>
  </si>
  <si>
    <t>Sprint22</t>
  </si>
  <si>
    <t>Sprint23</t>
  </si>
  <si>
    <t>Sprint24</t>
  </si>
  <si>
    <t>Sprint25</t>
  </si>
  <si>
    <t>Nombre MS</t>
  </si>
  <si>
    <t>Submission1</t>
  </si>
  <si>
    <t>Submission2</t>
  </si>
  <si>
    <t>Parche</t>
  </si>
  <si>
    <t>ARTE</t>
  </si>
  <si>
    <t>Concept Artist1</t>
  </si>
  <si>
    <t>Modelador1</t>
  </si>
  <si>
    <t>Animador1</t>
  </si>
  <si>
    <t>DISEÑO</t>
  </si>
  <si>
    <t>Diseñador 1</t>
  </si>
  <si>
    <t>CODE</t>
  </si>
  <si>
    <t>LEVEL</t>
  </si>
  <si>
    <t>Level Artist1</t>
  </si>
  <si>
    <t>Depts varios</t>
  </si>
  <si>
    <t>Sonido</t>
  </si>
  <si>
    <t>gdd draft</t>
  </si>
  <si>
    <t>2 semanas</t>
  </si>
  <si>
    <t>gdd final</t>
  </si>
  <si>
    <t>script draft</t>
  </si>
  <si>
    <t>script final</t>
  </si>
  <si>
    <t>Mecanica"X"</t>
  </si>
  <si>
    <t>Metricas</t>
  </si>
  <si>
    <t>Playground</t>
  </si>
  <si>
    <t>Puzzle"P"</t>
  </si>
  <si>
    <t>VS Fun</t>
  </si>
  <si>
    <t>Ep"L" Fun</t>
  </si>
  <si>
    <t>(Episodios en estado funcional) ( tantas como episodios)</t>
  </si>
  <si>
    <t>Con.Jugador</t>
  </si>
  <si>
    <t>Con.En"CE"</t>
  </si>
  <si>
    <t>1 semana</t>
  </si>
  <si>
    <t>(Concept de enemigos) (Tantos como enemigos)</t>
  </si>
  <si>
    <t>Con VS</t>
  </si>
  <si>
    <t>1semanas</t>
  </si>
  <si>
    <t>Con.Ep"CL"</t>
  </si>
  <si>
    <t>2 semana</t>
  </si>
  <si>
    <t>(Concept de niveles) (Tantos como niveles)</t>
  </si>
  <si>
    <t>Marketing</t>
  </si>
  <si>
    <t>4 semanas</t>
  </si>
  <si>
    <t>Modelado</t>
  </si>
  <si>
    <t>Player</t>
  </si>
  <si>
    <t>Enemigos"ME"</t>
  </si>
  <si>
    <t>Animacion</t>
  </si>
  <si>
    <t>Enemigos"AE"</t>
  </si>
  <si>
    <t>(Anim de enemigos) (Tantos como enemigos)</t>
  </si>
  <si>
    <t>SONO</t>
  </si>
  <si>
    <t>VFX</t>
  </si>
  <si>
    <t>PROG</t>
  </si>
  <si>
    <t>PLANNING</t>
  </si>
  <si>
    <t>RESULTADO</t>
  </si>
  <si>
    <t>Variabilidad</t>
  </si>
  <si>
    <t>Mecanicas</t>
  </si>
  <si>
    <t>1+1d6</t>
  </si>
  <si>
    <t>Puzzle</t>
  </si>
  <si>
    <t>1d4</t>
  </si>
  <si>
    <t>Episodios</t>
  </si>
  <si>
    <t>2+1d6</t>
  </si>
  <si>
    <t xml:space="preserve">Enemigos </t>
  </si>
  <si>
    <t>2+2d4</t>
  </si>
  <si>
    <t>TAREAS y DEPENDENCIAS</t>
  </si>
  <si>
    <t>Departamento</t>
  </si>
  <si>
    <t>Tarea(s) y Flujo</t>
  </si>
  <si>
    <t>Dependecias</t>
  </si>
  <si>
    <t>DESBLOQUEA: Necesario tenerlo antes de modelarlo</t>
  </si>
  <si>
    <t>Con.EnX- Concept enemigo</t>
  </si>
  <si>
    <t>Con.VS y Con. EpX</t>
  </si>
  <si>
    <t>MODELADO</t>
  </si>
  <si>
    <t>Personajes</t>
  </si>
  <si>
    <t>Modelado de enemigo/jugador requiere de concepto previo</t>
  </si>
  <si>
    <t>NIVELES</t>
  </si>
  <si>
    <t>ParStandard -&gt; Polish/Pulido</t>
  </si>
  <si>
    <t>Requiere de nivel en FUN ( Funcional o BlockOut ) por parte de diseño</t>
  </si>
  <si>
    <t>Guion/Script</t>
  </si>
  <si>
    <t xml:space="preserve">Requiere de GDD terminado </t>
  </si>
  <si>
    <t xml:space="preserve">Mecanicas </t>
  </si>
  <si>
    <t>Puzzles</t>
  </si>
  <si>
    <t>PlayGround</t>
  </si>
  <si>
    <t>Requiere  Metricas ( pero no de Puzzles)</t>
  </si>
  <si>
    <t>Ajustes por play testing</t>
  </si>
  <si>
    <t>SONIDO</t>
  </si>
  <si>
    <t>Musica : se considera externa y no se tiene en cuenta en planificacion</t>
  </si>
  <si>
    <t>Episodio Sonido</t>
  </si>
  <si>
    <t>Episodio VFX</t>
  </si>
  <si>
    <t>CINEMATICAS</t>
  </si>
  <si>
    <t>NO HAY EN ESTE EJEMPLO</t>
  </si>
  <si>
    <t>Por mejorar si fuera real...</t>
  </si>
  <si>
    <t>( para que lo tengais encuenta si usais esta plantilla en el futuro)</t>
  </si>
  <si>
    <t xml:space="preserve">TODOS: Posible demo para decargar y generar traccion de usuarios </t>
  </si>
  <si>
    <t xml:space="preserve">CINEMATICAS: Este es un juego sin cinematicas, por eso no hay departamento como tal </t>
  </si>
  <si>
    <t xml:space="preserve">
DESBLOQUEA: Poder hacer nivel en PAR y POL ( no influye para FUN)</t>
  </si>
  <si>
    <t>(Modelado se asume que incluye rigging y texturizado)</t>
  </si>
  <si>
    <t>Requiere de todas las mecanicas</t>
  </si>
  <si>
    <t>Requiere que mapa este al menor terminado en PAR</t>
  </si>
  <si>
    <t xml:space="preserve">2 semanas cada estado de nivel:  2 para PAR , 2 para POL...
</t>
  </si>
  <si>
    <t>Prepro3- VS2</t>
  </si>
  <si>
    <t>Prepro2 - VS1</t>
  </si>
  <si>
    <t>Sprint19</t>
  </si>
  <si>
    <t>Sprint20</t>
  </si>
  <si>
    <t>(tantas como mecanicas)</t>
  </si>
  <si>
    <t>(tantas como puzles)</t>
  </si>
  <si>
    <t>DESBLOQUEA: Modelado enemigo</t>
  </si>
  <si>
    <t>Aletermativamente, se puede crear uan tarea para el jugadoir de misma duracion entiempo que las de enemigos</t>
  </si>
  <si>
    <t>Requiere modelado</t>
  </si>
  <si>
    <t>Requiere que mapa este al menos  terminado en PAR. 
Recomendado simultaneo con sono</t>
  </si>
  <si>
    <t>ARTE: Habria que meter marketing: posters, y trailer / Teaser a tiempo</t>
  </si>
  <si>
    <t>Ep"L" Sono</t>
  </si>
  <si>
    <t>Ep"L" Vfx</t>
  </si>
  <si>
    <t>(Modelado de enemigos) (Tantos como enemigos)</t>
  </si>
  <si>
    <r>
      <t xml:space="preserve">Sprints de 
</t>
    </r>
    <r>
      <rPr>
        <i/>
        <u/>
        <sz val="10"/>
        <color rgb="FF000000"/>
        <rFont val="Arial"/>
        <family val="2"/>
      </rPr>
      <t>2 semanas</t>
    </r>
  </si>
  <si>
    <r>
      <rPr>
        <sz val="10"/>
        <color rgb="FFFF0000"/>
        <rFont val="Arial"/>
        <family val="2"/>
      </rPr>
      <t>NO</t>
    </r>
    <r>
      <rPr>
        <sz val="10"/>
        <rFont val="Arial"/>
        <family val="2"/>
      </rPr>
      <t xml:space="preserve"> los necesitamos para desbloquear PlayGround ( se pueden ir añadiendo)</t>
    </r>
  </si>
  <si>
    <t>Diseñador 2</t>
  </si>
  <si>
    <t>Dis- Mec1</t>
  </si>
  <si>
    <t>Dis- Mec2</t>
  </si>
  <si>
    <t>Dis- Mec3</t>
  </si>
  <si>
    <t>Dis- Mec4</t>
  </si>
  <si>
    <t>Dis Puzzle1</t>
  </si>
  <si>
    <t>Dis Puzzle2</t>
  </si>
  <si>
    <t>Dis Puzzle3</t>
  </si>
  <si>
    <t>Ep1 FUN</t>
  </si>
  <si>
    <t>Ep2 FUN</t>
  </si>
  <si>
    <t>Ep3 FUN</t>
  </si>
  <si>
    <t>Ep4 FUN</t>
  </si>
  <si>
    <t>Ep5 FUN</t>
  </si>
  <si>
    <t>Ep6 FUN</t>
  </si>
  <si>
    <t>Con Ep1</t>
  </si>
  <si>
    <t>Con Ep6</t>
  </si>
  <si>
    <t>Con Ep5</t>
  </si>
  <si>
    <t>Con Ep4</t>
  </si>
  <si>
    <t>Con Ep3</t>
  </si>
  <si>
    <t>Con Ep2</t>
  </si>
  <si>
    <t>Mod EN1</t>
  </si>
  <si>
    <t>Mod EN8</t>
  </si>
  <si>
    <t>Mod EN7</t>
  </si>
  <si>
    <t>Mod EN6</t>
  </si>
  <si>
    <t>Mod EN5</t>
  </si>
  <si>
    <t>Mod EN4</t>
  </si>
  <si>
    <t>Mod EN3</t>
  </si>
  <si>
    <t>Mod EN2</t>
  </si>
  <si>
    <t>Anm EN1</t>
  </si>
  <si>
    <t>Anm EN2</t>
  </si>
  <si>
    <t>Anm EN3</t>
  </si>
  <si>
    <t>Anm EN4</t>
  </si>
  <si>
    <t>Anm EN5</t>
  </si>
  <si>
    <t>Anm EN6</t>
  </si>
  <si>
    <t>Anm EN7</t>
  </si>
  <si>
    <t>Anm EN8</t>
  </si>
  <si>
    <t>Ep1 Sono</t>
  </si>
  <si>
    <t>Ep2 Sono</t>
  </si>
  <si>
    <t>Ep3 Sono</t>
  </si>
  <si>
    <t>Ep4 Sono</t>
  </si>
  <si>
    <t>Ep5 Sono</t>
  </si>
  <si>
    <t>Ep6 Sono</t>
  </si>
  <si>
    <t>Ep1 Vfx</t>
  </si>
  <si>
    <t>Ep2 Vfx</t>
  </si>
  <si>
    <t>Ep3 Vfx</t>
  </si>
  <si>
    <t>Ep4 Vfx</t>
  </si>
  <si>
    <t>Ep5 Vfx</t>
  </si>
  <si>
    <t>Ep6 Vfx</t>
  </si>
  <si>
    <t>Par</t>
  </si>
  <si>
    <t>Pol</t>
  </si>
  <si>
    <t>Ep"L"Par</t>
  </si>
  <si>
    <t>Ep"L" Pol</t>
  </si>
  <si>
    <t>ARTE-NIVELES</t>
  </si>
  <si>
    <t>Ep1 PAR</t>
  </si>
  <si>
    <t>Ep2 PAR</t>
  </si>
  <si>
    <t>Ep3 PAR</t>
  </si>
  <si>
    <t>Ep4 PAR</t>
  </si>
  <si>
    <t>Ep5 PAR</t>
  </si>
  <si>
    <t>Ep6 PAR</t>
  </si>
  <si>
    <t>Ep1 POL</t>
  </si>
  <si>
    <t>Ep2 POL</t>
  </si>
  <si>
    <t>Ep3 POL</t>
  </si>
  <si>
    <t>Ep4 POL</t>
  </si>
  <si>
    <t>Ep5 POL</t>
  </si>
  <si>
    <t>Ep6 POL</t>
  </si>
  <si>
    <t>Anm Player</t>
  </si>
  <si>
    <t>Player, II</t>
  </si>
  <si>
    <t>Player,II</t>
  </si>
  <si>
    <t>VS Par</t>
  </si>
  <si>
    <t>VS Pol</t>
  </si>
  <si>
    <t>(Episodios en estado Par Standard) ( tantas como episodios)</t>
  </si>
  <si>
    <t>(Episodios en estado Polish/Pulido) ( tantas como episodios)</t>
  </si>
  <si>
    <t>Con EN1+EN2</t>
  </si>
  <si>
    <t>Con EN3+EN4</t>
  </si>
  <si>
    <t>Con EN5+EN6</t>
  </si>
  <si>
    <t>Con EN7+EN8</t>
  </si>
  <si>
    <t>Marketing,II</t>
  </si>
  <si>
    <t xml:space="preserve">VFX </t>
  </si>
  <si>
    <t>Camara</t>
  </si>
  <si>
    <t>RELLENAR 
POR ALUMNO</t>
  </si>
  <si>
    <t>VS VFX</t>
  </si>
  <si>
    <t>Ep1 CON</t>
  </si>
  <si>
    <t>Extra ( solo si nec)</t>
  </si>
  <si>
    <t>Ya puesto</t>
  </si>
  <si>
    <t>VS SONO</t>
  </si>
  <si>
    <t>VS PAR</t>
  </si>
  <si>
    <t>VS POL</t>
  </si>
  <si>
    <t>EoL</t>
  </si>
  <si>
    <t>Animacion de enemigos requiere de modelado</t>
  </si>
  <si>
    <t>JUGADOR</t>
  </si>
  <si>
    <t>Puesta ya en plantila</t>
  </si>
  <si>
    <t>Con.Player</t>
  </si>
  <si>
    <t xml:space="preserve">Meter vacaciones según correspondan!!! </t>
  </si>
  <si>
    <t>Puzz1</t>
  </si>
  <si>
    <t>Puzz2</t>
  </si>
  <si>
    <t>Puzz3</t>
  </si>
  <si>
    <t>Mec1</t>
  </si>
  <si>
    <t>Mec2</t>
  </si>
  <si>
    <t>Mec3</t>
  </si>
  <si>
    <t>MecY</t>
  </si>
  <si>
    <t>PuzzP</t>
  </si>
  <si>
    <t>Tras realizar produccion un playtesting (OPCIONAL)</t>
  </si>
  <si>
    <t>PROGR+A53</t>
  </si>
  <si>
    <t>Mec</t>
  </si>
  <si>
    <t>Requiere que diseño haya terminado su trabajo de esa mecanica antes</t>
  </si>
  <si>
    <t>Idem</t>
  </si>
  <si>
    <t>MecVS</t>
  </si>
  <si>
    <t>NOTA: Numero  según tirada dado virtual</t>
  </si>
  <si>
    <t>polish/bug fixing</t>
  </si>
  <si>
    <t>support</t>
  </si>
  <si>
    <t>&lt;--</t>
  </si>
  <si>
    <t>Coder1</t>
  </si>
  <si>
    <t>PS4 TRC</t>
  </si>
  <si>
    <t>Xbox XR</t>
  </si>
  <si>
    <t>arte</t>
  </si>
  <si>
    <t>Con EN7</t>
  </si>
  <si>
    <t>Dis- Mec5</t>
  </si>
  <si>
    <t>Dis- Mec6</t>
  </si>
  <si>
    <t>Dis Puzzle4</t>
  </si>
  <si>
    <t>Con Ep7</t>
  </si>
  <si>
    <t>Ep7 FUN</t>
  </si>
  <si>
    <t>listo</t>
  </si>
  <si>
    <t>Ep7 PAR</t>
  </si>
  <si>
    <t>Ep7 POL</t>
  </si>
  <si>
    <t>Mec4</t>
  </si>
  <si>
    <t>Mec5</t>
  </si>
  <si>
    <t>Mec6</t>
  </si>
  <si>
    <t>Puzz4</t>
  </si>
  <si>
    <t>Ep7 Sono</t>
  </si>
  <si>
    <t>Ep7 Vfx</t>
  </si>
  <si>
    <t>Play-testing</t>
  </si>
  <si>
    <t>Vacaciones</t>
  </si>
  <si>
    <t>buffer</t>
  </si>
  <si>
    <t>vacaciones</t>
  </si>
  <si>
    <t>Presupuesto</t>
  </si>
  <si>
    <t>cada mes</t>
  </si>
  <si>
    <t>He asumido que los trabajadores que trabajan medio mes cobran por mes entero</t>
  </si>
  <si>
    <t>cada fase</t>
  </si>
  <si>
    <t>total</t>
  </si>
  <si>
    <t>Precio salida</t>
  </si>
  <si>
    <t>Precio medio</t>
  </si>
  <si>
    <t>Impuestos</t>
  </si>
  <si>
    <t>Plataforma</t>
  </si>
  <si>
    <t>pecio sin plataforma</t>
  </si>
  <si>
    <t>precio neto(sin impuestos)</t>
  </si>
  <si>
    <t>total de copias vendidas para recuperar inversion</t>
  </si>
  <si>
    <t>beneficio final mio</t>
  </si>
  <si>
    <t>Royalty 1</t>
  </si>
  <si>
    <t>Porcentaje publisher</t>
  </si>
  <si>
    <t>Porcentaje propio</t>
  </si>
  <si>
    <t>Royalty 2</t>
  </si>
  <si>
    <t>Royalty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</si>
</sst>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m\-d"/>
    <numFmt numFmtId="165" formatCode="#,##0.0\ &quot;€&quot;;[Red]\-#,##0.0\ &quot;€&quot;"/>
  </numFmts>
  <fonts count="18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99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i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theme="2"/>
      <name val="Arial"/>
      <family val="2"/>
    </font>
    <font>
      <sz val="22"/>
      <color rgb="FFFF0000"/>
      <name val="Arial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C198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rgb="FFEFEFEF"/>
      </patternFill>
    </fill>
    <fill>
      <patternFill patternType="solid">
        <fgColor theme="2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3" fillId="5" borderId="0" xfId="0" applyFont="1" applyFill="1"/>
    <xf numFmtId="0" fontId="3" fillId="6" borderId="3" xfId="0" applyFont="1" applyFill="1" applyBorder="1"/>
    <xf numFmtId="0" fontId="1" fillId="7" borderId="3" xfId="0" applyFont="1" applyFill="1" applyBorder="1"/>
    <xf numFmtId="0" fontId="1" fillId="8" borderId="3" xfId="0" applyFont="1" applyFill="1" applyBorder="1"/>
    <xf numFmtId="0" fontId="1" fillId="9" borderId="3" xfId="0" applyFont="1" applyFill="1" applyBorder="1"/>
    <xf numFmtId="0" fontId="1" fillId="10" borderId="3" xfId="0" applyFont="1" applyFill="1" applyBorder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11" borderId="0" xfId="0" applyFont="1" applyFill="1" applyAlignment="1">
      <alignment horizontal="left"/>
    </xf>
    <xf numFmtId="0" fontId="1" fillId="12" borderId="0" xfId="0" applyFont="1" applyFill="1"/>
    <xf numFmtId="0" fontId="3" fillId="12" borderId="0" xfId="0" applyFont="1" applyFill="1"/>
    <xf numFmtId="0" fontId="1" fillId="0" borderId="0" xfId="0" applyFont="1"/>
    <xf numFmtId="0" fontId="3" fillId="0" borderId="0" xfId="0" applyFont="1"/>
    <xf numFmtId="0" fontId="1" fillId="11" borderId="0" xfId="0" applyFont="1" applyFill="1"/>
    <xf numFmtId="0" fontId="7" fillId="11" borderId="0" xfId="0" applyFont="1" applyFill="1" applyAlignment="1">
      <alignment horizontal="left"/>
    </xf>
    <xf numFmtId="0" fontId="1" fillId="5" borderId="0" xfId="0" applyFont="1" applyFill="1"/>
    <xf numFmtId="0" fontId="8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9" fillId="0" borderId="0" xfId="0" applyFont="1"/>
    <xf numFmtId="0" fontId="3" fillId="2" borderId="0" xfId="0" applyFont="1" applyFill="1" applyAlignment="1">
      <alignment vertical="top"/>
    </xf>
    <xf numFmtId="0" fontId="3" fillId="13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11" borderId="0" xfId="0" applyFont="1" applyFill="1" applyAlignment="1">
      <alignment vertical="top"/>
    </xf>
    <xf numFmtId="0" fontId="3" fillId="11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13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0" fillId="14" borderId="0" xfId="0" applyFill="1"/>
    <xf numFmtId="0" fontId="0" fillId="14" borderId="0" xfId="0" applyFill="1" applyAlignment="1">
      <alignment wrapText="1"/>
    </xf>
    <xf numFmtId="0" fontId="1" fillId="15" borderId="0" xfId="0" applyFont="1" applyFill="1"/>
    <xf numFmtId="0" fontId="0" fillId="15" borderId="0" xfId="0" applyFill="1"/>
    <xf numFmtId="0" fontId="11" fillId="0" borderId="0" xfId="0" applyFont="1" applyAlignment="1">
      <alignment wrapText="1"/>
    </xf>
    <xf numFmtId="0" fontId="9" fillId="11" borderId="0" xfId="0" applyFont="1" applyFill="1" applyAlignment="1">
      <alignment vertical="top" wrapText="1"/>
    </xf>
    <xf numFmtId="0" fontId="9" fillId="0" borderId="0" xfId="0" applyFont="1" applyAlignment="1">
      <alignment vertical="top"/>
    </xf>
    <xf numFmtId="0" fontId="0" fillId="16" borderId="0" xfId="0" applyFill="1"/>
    <xf numFmtId="0" fontId="11" fillId="16" borderId="0" xfId="0" applyFont="1" applyFill="1"/>
    <xf numFmtId="0" fontId="0" fillId="17" borderId="0" xfId="0" applyFill="1"/>
    <xf numFmtId="0" fontId="11" fillId="17" borderId="0" xfId="0" applyFont="1" applyFill="1"/>
    <xf numFmtId="0" fontId="0" fillId="18" borderId="0" xfId="0" applyFill="1"/>
    <xf numFmtId="0" fontId="11" fillId="18" borderId="0" xfId="0" applyFont="1" applyFill="1"/>
    <xf numFmtId="0" fontId="0" fillId="19" borderId="0" xfId="0" applyFill="1"/>
    <xf numFmtId="0" fontId="11" fillId="19" borderId="0" xfId="0" applyFont="1" applyFill="1"/>
    <xf numFmtId="0" fontId="0" fillId="20" borderId="0" xfId="0" applyFill="1"/>
    <xf numFmtId="0" fontId="11" fillId="20" borderId="0" xfId="0" applyFont="1" applyFill="1"/>
    <xf numFmtId="0" fontId="0" fillId="21" borderId="0" xfId="0" applyFill="1"/>
    <xf numFmtId="0" fontId="11" fillId="21" borderId="0" xfId="0" applyFont="1" applyFill="1"/>
    <xf numFmtId="0" fontId="1" fillId="21" borderId="0" xfId="0" applyFont="1" applyFill="1"/>
    <xf numFmtId="0" fontId="1" fillId="20" borderId="0" xfId="0" applyFont="1" applyFill="1"/>
    <xf numFmtId="0" fontId="1" fillId="19" borderId="0" xfId="0" applyFont="1" applyFill="1"/>
    <xf numFmtId="0" fontId="1" fillId="18" borderId="0" xfId="0" applyFont="1" applyFill="1"/>
    <xf numFmtId="0" fontId="1" fillId="17" borderId="0" xfId="0" applyFont="1" applyFill="1"/>
    <xf numFmtId="0" fontId="1" fillId="16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3" fillId="30" borderId="0" xfId="0" applyFont="1" applyFill="1"/>
    <xf numFmtId="0" fontId="9" fillId="30" borderId="0" xfId="0" applyFont="1" applyFill="1"/>
    <xf numFmtId="0" fontId="11" fillId="22" borderId="0" xfId="0" applyFont="1" applyFill="1"/>
    <xf numFmtId="0" fontId="11" fillId="24" borderId="0" xfId="0" applyFont="1" applyFill="1"/>
    <xf numFmtId="0" fontId="11" fillId="26" borderId="0" xfId="0" applyFont="1" applyFill="1"/>
    <xf numFmtId="0" fontId="11" fillId="28" borderId="0" xfId="0" applyFont="1" applyFill="1"/>
    <xf numFmtId="0" fontId="15" fillId="5" borderId="0" xfId="0" applyFont="1" applyFill="1"/>
    <xf numFmtId="0" fontId="1" fillId="8" borderId="2" xfId="0" applyFont="1" applyFill="1" applyBorder="1"/>
    <xf numFmtId="0" fontId="1" fillId="7" borderId="5" xfId="0" applyFont="1" applyFill="1" applyBorder="1"/>
    <xf numFmtId="0" fontId="4" fillId="0" borderId="4" xfId="0" applyFont="1" applyBorder="1"/>
    <xf numFmtId="0" fontId="1" fillId="12" borderId="4" xfId="0" applyFont="1" applyFill="1" applyBorder="1"/>
    <xf numFmtId="0" fontId="1" fillId="5" borderId="4" xfId="0" applyFont="1" applyFill="1" applyBorder="1"/>
    <xf numFmtId="0" fontId="0" fillId="0" borderId="4" xfId="0" applyBorder="1"/>
    <xf numFmtId="0" fontId="1" fillId="7" borderId="2" xfId="0" applyFont="1" applyFill="1" applyBorder="1"/>
    <xf numFmtId="0" fontId="3" fillId="6" borderId="5" xfId="0" applyFont="1" applyFill="1" applyBorder="1"/>
    <xf numFmtId="0" fontId="1" fillId="0" borderId="4" xfId="0" applyFont="1" applyBorder="1"/>
    <xf numFmtId="0" fontId="1" fillId="31" borderId="0" xfId="0" applyFont="1" applyFill="1"/>
    <xf numFmtId="0" fontId="3" fillId="31" borderId="0" xfId="0" applyFont="1" applyFill="1"/>
    <xf numFmtId="0" fontId="9" fillId="31" borderId="0" xfId="0" applyFont="1" applyFill="1"/>
    <xf numFmtId="0" fontId="12" fillId="0" borderId="0" xfId="0" applyFont="1"/>
    <xf numFmtId="0" fontId="0" fillId="33" borderId="0" xfId="0" applyFill="1"/>
    <xf numFmtId="0" fontId="16" fillId="0" borderId="0" xfId="0" applyFont="1" applyAlignment="1">
      <alignment vertical="top"/>
    </xf>
    <xf numFmtId="0" fontId="9" fillId="11" borderId="0" xfId="0" applyFont="1" applyFill="1" applyAlignment="1">
      <alignment vertical="top"/>
    </xf>
    <xf numFmtId="0" fontId="0" fillId="32" borderId="4" xfId="0" applyFill="1" applyBorder="1"/>
    <xf numFmtId="0" fontId="14" fillId="0" borderId="0" xfId="0" applyFont="1" applyAlignment="1">
      <alignment vertical="top"/>
    </xf>
    <xf numFmtId="0" fontId="11" fillId="11" borderId="0" xfId="0" applyFont="1" applyFill="1" applyAlignment="1">
      <alignment horizontal="left"/>
    </xf>
    <xf numFmtId="0" fontId="9" fillId="0" borderId="6" xfId="0" applyFont="1" applyBorder="1"/>
    <xf numFmtId="0" fontId="9" fillId="11" borderId="0" xfId="0" applyFont="1" applyFill="1"/>
    <xf numFmtId="0" fontId="7" fillId="0" borderId="0" xfId="0" applyFont="1"/>
    <xf numFmtId="0" fontId="17" fillId="34" borderId="0" xfId="0" applyFont="1" applyFill="1"/>
    <xf numFmtId="0" fontId="17" fillId="35" borderId="0" xfId="0" applyFont="1" applyFill="1"/>
    <xf numFmtId="0" fontId="7" fillId="28" borderId="0" xfId="0" applyFont="1" applyFill="1"/>
    <xf numFmtId="0" fontId="7" fillId="21" borderId="0" xfId="0" applyFont="1" applyFill="1"/>
    <xf numFmtId="6" fontId="0" fillId="0" borderId="0" xfId="0" applyNumberFormat="1"/>
    <xf numFmtId="9" fontId="0" fillId="0" borderId="0" xfId="0" applyNumberFormat="1"/>
    <xf numFmtId="165" fontId="0" fillId="0" borderId="0" xfId="0" applyNumberFormat="1"/>
    <xf numFmtId="1" fontId="0" fillId="0" borderId="0" xfId="0" applyNumberFormat="1"/>
    <xf numFmtId="9" fontId="7" fillId="0" borderId="0" xfId="0" applyNumberFormat="1" applyFont="1"/>
    <xf numFmtId="0" fontId="1" fillId="10" borderId="1" xfId="0" applyFont="1" applyFill="1" applyBorder="1" applyAlignment="1">
      <alignment horizontal="center"/>
    </xf>
    <xf numFmtId="0" fontId="1" fillId="0" borderId="2" xfId="0" applyFont="1" applyBorder="1"/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1989"/>
      <color rgb="FF3B37ED"/>
      <color rgb="FF05197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B535-DC7F-4641-A174-BB1D03B97C14}">
  <sheetPr codeName="Sheet7">
    <outlinePr summaryBelow="0" summaryRight="0"/>
  </sheetPr>
  <dimension ref="A1:Z70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26" sqref="V26"/>
    </sheetView>
  </sheetViews>
  <sheetFormatPr baseColWidth="10" defaultColWidth="14.44140625" defaultRowHeight="15.75" customHeight="1" outlineLevelRow="1" outlineLevelCol="1" x14ac:dyDescent="0.25"/>
  <cols>
    <col min="1" max="1" width="16.5546875" customWidth="1"/>
    <col min="2" max="8" width="13.5546875" customWidth="1" outlineLevel="1"/>
    <col min="9" max="9" width="13.5546875" style="85" customWidth="1" outlineLevel="1"/>
    <col min="10" max="18" width="13.5546875" customWidth="1" outlineLevel="1"/>
    <col min="19" max="19" width="13.5546875" style="85" customWidth="1" outlineLevel="1"/>
    <col min="20" max="26" width="13.5546875" customWidth="1" outlineLevel="1"/>
  </cols>
  <sheetData>
    <row r="1" spans="1:26" ht="15.75" customHeight="1" x14ac:dyDescent="0.25">
      <c r="A1" s="1"/>
      <c r="B1" s="121" t="s">
        <v>0</v>
      </c>
      <c r="C1" s="117"/>
      <c r="D1" s="116" t="s">
        <v>1</v>
      </c>
      <c r="E1" s="117"/>
      <c r="F1" s="118" t="s">
        <v>2</v>
      </c>
      <c r="G1" s="117"/>
      <c r="H1" s="116" t="s">
        <v>3</v>
      </c>
      <c r="I1" s="117"/>
      <c r="J1" s="3" t="s">
        <v>4</v>
      </c>
      <c r="K1" s="3"/>
      <c r="L1" s="116" t="s">
        <v>5</v>
      </c>
      <c r="M1" s="117"/>
      <c r="N1" s="118" t="s">
        <v>6</v>
      </c>
      <c r="O1" s="117"/>
      <c r="P1" s="116" t="s">
        <v>7</v>
      </c>
      <c r="Q1" s="117"/>
      <c r="R1" s="118" t="s">
        <v>8</v>
      </c>
      <c r="S1" s="117"/>
      <c r="T1" s="118" t="s">
        <v>9</v>
      </c>
      <c r="U1" s="117"/>
      <c r="V1" s="116" t="s">
        <v>10</v>
      </c>
      <c r="W1" s="117"/>
      <c r="X1" s="118" t="s">
        <v>11</v>
      </c>
      <c r="Y1" s="117"/>
      <c r="Z1" s="2" t="s">
        <v>12</v>
      </c>
    </row>
    <row r="2" spans="1:26" ht="15.75" customHeight="1" x14ac:dyDescent="0.25">
      <c r="A2" s="1"/>
      <c r="B2" s="119" t="s">
        <v>13</v>
      </c>
      <c r="C2" s="112"/>
      <c r="D2" s="120" t="s">
        <v>14</v>
      </c>
      <c r="E2" s="112"/>
      <c r="F2" s="120" t="s">
        <v>141</v>
      </c>
      <c r="G2" s="112"/>
      <c r="H2" s="120" t="s">
        <v>140</v>
      </c>
      <c r="I2" s="112"/>
      <c r="J2" s="113" t="s">
        <v>15</v>
      </c>
      <c r="K2" s="112"/>
      <c r="L2" s="113" t="s">
        <v>16</v>
      </c>
      <c r="M2" s="112"/>
      <c r="N2" s="113" t="s">
        <v>17</v>
      </c>
      <c r="O2" s="112"/>
      <c r="P2" s="113" t="s">
        <v>18</v>
      </c>
      <c r="Q2" s="112"/>
      <c r="R2" s="113" t="s">
        <v>19</v>
      </c>
      <c r="S2" s="112"/>
      <c r="T2" s="114" t="s">
        <v>20</v>
      </c>
      <c r="U2" s="112"/>
      <c r="V2" s="115" t="s">
        <v>21</v>
      </c>
      <c r="W2" s="112"/>
      <c r="X2" s="111" t="s">
        <v>22</v>
      </c>
      <c r="Y2" s="112"/>
      <c r="Z2" s="4" t="s">
        <v>23</v>
      </c>
    </row>
    <row r="3" spans="1:26" ht="28.8" customHeight="1" x14ac:dyDescent="0.25">
      <c r="A3" s="43" t="s">
        <v>154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87" t="s">
        <v>31</v>
      </c>
      <c r="J3" s="86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39</v>
      </c>
      <c r="R3" s="7" t="s">
        <v>40</v>
      </c>
      <c r="S3" s="81" t="s">
        <v>41</v>
      </c>
      <c r="T3" s="80" t="s">
        <v>142</v>
      </c>
      <c r="U3" s="8" t="s">
        <v>143</v>
      </c>
      <c r="V3" s="9" t="s">
        <v>42</v>
      </c>
      <c r="W3" s="9" t="s">
        <v>43</v>
      </c>
      <c r="X3" s="10" t="s">
        <v>44</v>
      </c>
      <c r="Y3" s="10" t="s">
        <v>45</v>
      </c>
      <c r="Z3" s="7" t="s">
        <v>46</v>
      </c>
    </row>
    <row r="4" spans="1:26" ht="15.75" customHeight="1" x14ac:dyDescent="0.25">
      <c r="A4" s="11" t="s">
        <v>47</v>
      </c>
      <c r="B4" s="12"/>
      <c r="C4" s="12"/>
      <c r="D4" s="11"/>
      <c r="E4" s="11"/>
      <c r="H4" s="11"/>
      <c r="I4" s="82"/>
      <c r="N4" s="13"/>
      <c r="O4" s="13"/>
      <c r="P4" s="14"/>
      <c r="Q4" s="14"/>
      <c r="R4" s="11"/>
      <c r="S4" s="82"/>
      <c r="T4" s="11"/>
      <c r="U4" s="11"/>
      <c r="V4" s="11"/>
      <c r="W4" s="11"/>
      <c r="X4" s="11" t="s">
        <v>48</v>
      </c>
      <c r="Y4" s="11" t="s">
        <v>49</v>
      </c>
      <c r="Z4" s="11" t="s">
        <v>50</v>
      </c>
    </row>
    <row r="5" spans="1:26" ht="15.75" customHeight="1" x14ac:dyDescent="0.25">
      <c r="A5" s="15" t="s">
        <v>51</v>
      </c>
      <c r="B5" s="16"/>
      <c r="C5" s="16"/>
      <c r="D5" s="15"/>
      <c r="E5" s="15"/>
      <c r="F5" s="15"/>
      <c r="G5" s="15"/>
      <c r="H5" s="15"/>
      <c r="I5" s="83"/>
      <c r="J5" s="15"/>
      <c r="K5" s="15"/>
      <c r="L5" s="15"/>
      <c r="M5" s="15"/>
      <c r="N5" s="15"/>
      <c r="O5" s="15"/>
      <c r="P5" s="15"/>
      <c r="Q5" s="15"/>
      <c r="R5" s="15"/>
      <c r="S5" s="83"/>
      <c r="T5" s="15"/>
      <c r="U5" s="15"/>
      <c r="V5" s="15"/>
      <c r="W5" s="15"/>
      <c r="X5" s="15"/>
      <c r="Y5" s="15"/>
      <c r="Z5" s="15"/>
    </row>
    <row r="6" spans="1:26" ht="15.75" customHeight="1" outlineLevel="1" x14ac:dyDescent="0.25">
      <c r="A6" s="17" t="s">
        <v>52</v>
      </c>
      <c r="B6" s="72" t="s">
        <v>74</v>
      </c>
      <c r="C6" s="25" t="s">
        <v>78</v>
      </c>
      <c r="D6" s="75" t="s">
        <v>228</v>
      </c>
      <c r="E6" s="76" t="s">
        <v>229</v>
      </c>
      <c r="F6" s="47" t="s">
        <v>237</v>
      </c>
      <c r="G6" s="48" t="s">
        <v>175</v>
      </c>
      <c r="H6" s="77" t="s">
        <v>230</v>
      </c>
      <c r="I6" s="48" t="s">
        <v>174</v>
      </c>
      <c r="J6" s="104" t="s">
        <v>271</v>
      </c>
      <c r="K6" s="48" t="s">
        <v>173</v>
      </c>
      <c r="L6" s="48" t="s">
        <v>172</v>
      </c>
      <c r="M6" s="48" t="s">
        <v>171</v>
      </c>
      <c r="N6" s="48" t="s">
        <v>275</v>
      </c>
      <c r="O6" t="s">
        <v>289</v>
      </c>
      <c r="P6" t="s">
        <v>289</v>
      </c>
      <c r="Q6" t="s">
        <v>288</v>
      </c>
      <c r="R6" s="5"/>
      <c r="S6" s="5"/>
      <c r="T6" s="5"/>
      <c r="U6" s="5"/>
      <c r="V6" s="102"/>
      <c r="W6" s="103"/>
      <c r="X6" s="103"/>
      <c r="Y6" s="103"/>
      <c r="Z6" s="103"/>
    </row>
    <row r="7" spans="1:26" ht="15.75" customHeight="1" outlineLevel="1" x14ac:dyDescent="0.25">
      <c r="A7" s="17" t="s">
        <v>53</v>
      </c>
      <c r="B7" s="79"/>
      <c r="C7" s="73" t="s">
        <v>86</v>
      </c>
      <c r="D7" s="74" t="s">
        <v>222</v>
      </c>
      <c r="E7" s="64" t="s">
        <v>176</v>
      </c>
      <c r="F7" s="65" t="s">
        <v>183</v>
      </c>
      <c r="G7" s="66" t="s">
        <v>182</v>
      </c>
      <c r="H7" s="67" t="s">
        <v>181</v>
      </c>
      <c r="I7" s="68" t="s">
        <v>180</v>
      </c>
      <c r="J7" s="69" t="s">
        <v>179</v>
      </c>
      <c r="K7" s="70" t="s">
        <v>178</v>
      </c>
      <c r="L7" t="s">
        <v>289</v>
      </c>
      <c r="M7" t="s">
        <v>289</v>
      </c>
      <c r="N7" s="25" t="s">
        <v>83</v>
      </c>
      <c r="O7" s="25" t="s">
        <v>232</v>
      </c>
      <c r="P7" t="s">
        <v>288</v>
      </c>
      <c r="Q7" s="19" t="s">
        <v>266</v>
      </c>
      <c r="R7" s="19" t="s">
        <v>266</v>
      </c>
      <c r="S7" s="19" t="s">
        <v>266</v>
      </c>
      <c r="T7" s="19" t="s">
        <v>264</v>
      </c>
      <c r="U7" s="19" t="s">
        <v>264</v>
      </c>
      <c r="V7" s="19" t="s">
        <v>265</v>
      </c>
      <c r="W7" s="19" t="s">
        <v>266</v>
      </c>
      <c r="X7" s="19" t="s">
        <v>266</v>
      </c>
      <c r="Y7" s="19" t="s">
        <v>266</v>
      </c>
      <c r="Z7" s="19" t="s">
        <v>266</v>
      </c>
    </row>
    <row r="8" spans="1:26" ht="15.75" customHeight="1" outlineLevel="1" x14ac:dyDescent="0.25">
      <c r="A8" s="17" t="s">
        <v>54</v>
      </c>
      <c r="B8" s="5"/>
      <c r="C8" s="5"/>
      <c r="D8" s="5"/>
      <c r="E8" s="74" t="s">
        <v>221</v>
      </c>
      <c r="F8" s="64" t="s">
        <v>184</v>
      </c>
      <c r="G8" s="65" t="s">
        <v>185</v>
      </c>
      <c r="H8" s="66" t="s">
        <v>186</v>
      </c>
      <c r="I8" s="67" t="s">
        <v>187</v>
      </c>
      <c r="J8" s="68" t="s">
        <v>188</v>
      </c>
      <c r="K8" s="69" t="s">
        <v>189</v>
      </c>
      <c r="L8" s="70" t="s">
        <v>190</v>
      </c>
      <c r="M8" t="s">
        <v>289</v>
      </c>
      <c r="N8" t="s">
        <v>289</v>
      </c>
      <c r="O8" t="s">
        <v>288</v>
      </c>
      <c r="P8" s="5"/>
      <c r="Q8" s="5"/>
      <c r="R8" s="5"/>
      <c r="S8" s="5"/>
      <c r="T8" s="5"/>
      <c r="U8" s="5"/>
      <c r="V8" s="102"/>
      <c r="W8" s="103"/>
      <c r="X8" s="103"/>
      <c r="Y8" s="103"/>
      <c r="Z8" s="103"/>
    </row>
    <row r="9" spans="1:26" ht="15.75" customHeight="1" outlineLevel="1" x14ac:dyDescent="0.25">
      <c r="A9" s="25" t="s">
        <v>238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02"/>
      <c r="U9" s="102"/>
      <c r="V9" s="102"/>
      <c r="W9" s="103"/>
      <c r="X9" s="103"/>
      <c r="Y9" s="103"/>
      <c r="Z9" s="103"/>
    </row>
    <row r="10" spans="1:26" ht="15.75" customHeight="1" x14ac:dyDescent="0.25">
      <c r="A10" s="89" t="s">
        <v>55</v>
      </c>
      <c r="B10" s="90"/>
      <c r="C10" s="90"/>
      <c r="D10" s="89"/>
      <c r="E10" s="89"/>
      <c r="F10" s="89"/>
      <c r="G10" s="89"/>
      <c r="H10" s="89"/>
      <c r="I10" s="96"/>
      <c r="J10" s="15"/>
      <c r="K10" s="15"/>
      <c r="L10" s="15"/>
      <c r="M10" s="15"/>
      <c r="N10" s="15"/>
      <c r="O10" s="15"/>
      <c r="P10" s="15"/>
      <c r="Q10" s="15"/>
      <c r="R10" s="15"/>
      <c r="S10" s="83"/>
      <c r="T10" s="15"/>
      <c r="U10" s="15"/>
      <c r="V10" s="15"/>
      <c r="W10" s="15"/>
      <c r="X10" s="15"/>
      <c r="Y10" s="15"/>
      <c r="Z10" s="15"/>
    </row>
    <row r="11" spans="1:26" ht="15.75" customHeight="1" outlineLevel="1" x14ac:dyDescent="0.25">
      <c r="A11" s="17" t="s">
        <v>56</v>
      </c>
      <c r="B11" s="17" t="s">
        <v>62</v>
      </c>
      <c r="C11" s="17" t="s">
        <v>64</v>
      </c>
      <c r="D11" s="25" t="s">
        <v>68</v>
      </c>
      <c r="E11" s="25" t="s">
        <v>69</v>
      </c>
      <c r="F11" t="s">
        <v>157</v>
      </c>
      <c r="G11" s="46" t="s">
        <v>164</v>
      </c>
      <c r="H11" t="s">
        <v>158</v>
      </c>
      <c r="I11" t="s">
        <v>159</v>
      </c>
      <c r="J11" t="s">
        <v>272</v>
      </c>
      <c r="K11" t="s">
        <v>273</v>
      </c>
      <c r="L11" t="s">
        <v>162</v>
      </c>
      <c r="M11" t="s">
        <v>163</v>
      </c>
      <c r="N11" t="s">
        <v>274</v>
      </c>
      <c r="O11" t="s">
        <v>286</v>
      </c>
      <c r="P11" t="s">
        <v>287</v>
      </c>
      <c r="Q11" t="s">
        <v>287</v>
      </c>
      <c r="R11" t="s">
        <v>288</v>
      </c>
      <c r="S11" s="85" t="s">
        <v>288</v>
      </c>
      <c r="T11" s="19" t="s">
        <v>264</v>
      </c>
      <c r="U11" s="19" t="s">
        <v>264</v>
      </c>
      <c r="V11" s="19" t="s">
        <v>265</v>
      </c>
      <c r="W11" s="19" t="s">
        <v>266</v>
      </c>
      <c r="X11" s="19" t="s">
        <v>266</v>
      </c>
      <c r="Y11" s="19" t="s">
        <v>266</v>
      </c>
      <c r="Z11" s="19" t="s">
        <v>266</v>
      </c>
    </row>
    <row r="12" spans="1:26" ht="15.75" customHeight="1" outlineLevel="1" x14ac:dyDescent="0.25">
      <c r="A12" s="17" t="s">
        <v>156</v>
      </c>
      <c r="B12" s="5"/>
      <c r="C12" s="5"/>
      <c r="D12" s="5"/>
      <c r="E12" s="17" t="s">
        <v>71</v>
      </c>
      <c r="F12" s="17" t="s">
        <v>65</v>
      </c>
      <c r="G12" s="17" t="s">
        <v>66</v>
      </c>
      <c r="H12" s="48" t="s">
        <v>165</v>
      </c>
      <c r="I12" t="s">
        <v>160</v>
      </c>
      <c r="J12" s="50" t="s">
        <v>166</v>
      </c>
      <c r="K12" t="s">
        <v>161</v>
      </c>
      <c r="L12" s="52" t="s">
        <v>167</v>
      </c>
      <c r="M12" s="54" t="s">
        <v>168</v>
      </c>
      <c r="N12" s="56" t="s">
        <v>169</v>
      </c>
      <c r="O12" s="56" t="s">
        <v>276</v>
      </c>
      <c r="P12" t="s">
        <v>286</v>
      </c>
      <c r="Q12" t="s">
        <v>287</v>
      </c>
      <c r="R12" t="s">
        <v>287</v>
      </c>
      <c r="S12" s="85" t="s">
        <v>288</v>
      </c>
      <c r="T12" s="19" t="s">
        <v>264</v>
      </c>
      <c r="U12" s="19" t="s">
        <v>264</v>
      </c>
      <c r="V12" s="102"/>
      <c r="W12" s="103"/>
      <c r="X12" s="103"/>
      <c r="Y12" s="103"/>
      <c r="Z12" s="103"/>
    </row>
    <row r="13" spans="1:26" ht="15.75" customHeight="1" outlineLevel="1" x14ac:dyDescent="0.25">
      <c r="A13" s="25" t="s">
        <v>238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89" t="s">
        <v>57</v>
      </c>
      <c r="B14" s="90"/>
      <c r="C14" s="90"/>
      <c r="D14" s="89"/>
      <c r="E14" s="89"/>
      <c r="F14" s="89"/>
      <c r="G14" s="89"/>
      <c r="H14" s="89"/>
      <c r="I14" s="96"/>
      <c r="J14" s="15"/>
      <c r="K14" s="15"/>
      <c r="L14" s="15"/>
      <c r="M14" s="15"/>
      <c r="N14" s="15"/>
      <c r="O14" s="15"/>
      <c r="P14" s="15"/>
      <c r="Q14" s="15"/>
      <c r="R14" s="15"/>
      <c r="S14" s="83"/>
      <c r="T14" s="15"/>
      <c r="U14" s="15"/>
      <c r="V14" s="15"/>
      <c r="W14" s="15"/>
      <c r="X14" s="15"/>
      <c r="Y14" s="15"/>
      <c r="Z14" s="15"/>
    </row>
    <row r="15" spans="1:26" ht="15.75" customHeight="1" outlineLevel="1" x14ac:dyDescent="0.25">
      <c r="A15" s="19" t="s">
        <v>267</v>
      </c>
      <c r="B15" s="5"/>
      <c r="C15" s="5"/>
      <c r="D15" s="5"/>
      <c r="E15" s="98" t="s">
        <v>234</v>
      </c>
      <c r="F15" s="20" t="s">
        <v>262</v>
      </c>
      <c r="G15" s="98" t="s">
        <v>252</v>
      </c>
      <c r="H15" s="20" t="s">
        <v>287</v>
      </c>
      <c r="I15" s="20" t="s">
        <v>287</v>
      </c>
      <c r="J15" s="20" t="s">
        <v>253</v>
      </c>
      <c r="K15" s="20" t="s">
        <v>254</v>
      </c>
      <c r="L15" s="20" t="s">
        <v>280</v>
      </c>
      <c r="M15" s="20" t="s">
        <v>281</v>
      </c>
      <c r="N15" s="20" t="s">
        <v>282</v>
      </c>
      <c r="O15" s="25" t="s">
        <v>249</v>
      </c>
      <c r="P15" s="17" t="s">
        <v>250</v>
      </c>
      <c r="Q15" s="17" t="s">
        <v>251</v>
      </c>
      <c r="R15" t="s">
        <v>269</v>
      </c>
      <c r="S15" s="85" t="s">
        <v>288</v>
      </c>
      <c r="T15" s="19" t="s">
        <v>264</v>
      </c>
      <c r="U15" s="19" t="s">
        <v>264</v>
      </c>
      <c r="V15" s="19" t="s">
        <v>265</v>
      </c>
      <c r="W15" s="19" t="s">
        <v>266</v>
      </c>
      <c r="X15" s="19" t="s">
        <v>266</v>
      </c>
      <c r="Y15" s="19" t="s">
        <v>266</v>
      </c>
      <c r="Z15" s="19" t="s">
        <v>266</v>
      </c>
    </row>
    <row r="16" spans="1:26" ht="15.75" customHeight="1" outlineLevel="1" x14ac:dyDescent="0.25">
      <c r="A16" s="25" t="s">
        <v>238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7" t="s">
        <v>283</v>
      </c>
      <c r="R16" t="s">
        <v>268</v>
      </c>
      <c r="S16" s="85" t="s">
        <v>288</v>
      </c>
      <c r="T16" s="19" t="s">
        <v>264</v>
      </c>
      <c r="U16" s="19" t="s">
        <v>264</v>
      </c>
      <c r="V16" s="102"/>
      <c r="W16" s="103"/>
      <c r="X16" s="103"/>
      <c r="Y16" s="103"/>
      <c r="Z16" s="103"/>
    </row>
    <row r="17" spans="1:26" ht="15.75" customHeight="1" x14ac:dyDescent="0.25">
      <c r="A17" s="89" t="s">
        <v>58</v>
      </c>
      <c r="B17" s="90"/>
      <c r="C17" s="90"/>
      <c r="D17" s="89"/>
      <c r="E17" s="89"/>
      <c r="F17" s="89"/>
      <c r="G17" s="89"/>
      <c r="H17" s="89"/>
      <c r="I17" s="96"/>
      <c r="J17" s="15"/>
      <c r="K17" s="15"/>
      <c r="L17" s="15"/>
      <c r="M17" s="15"/>
      <c r="N17" s="15"/>
      <c r="O17" s="15"/>
      <c r="P17" s="15"/>
      <c r="Q17" s="15"/>
      <c r="R17" s="15"/>
      <c r="S17" s="83"/>
      <c r="T17" s="15"/>
      <c r="U17" s="15"/>
      <c r="V17" s="15"/>
      <c r="W17" s="15"/>
      <c r="X17" s="15"/>
      <c r="Y17" s="15"/>
      <c r="Z17" s="15"/>
    </row>
    <row r="18" spans="1:26" ht="15.75" customHeight="1" outlineLevel="1" x14ac:dyDescent="0.25">
      <c r="A18" s="17" t="s">
        <v>59</v>
      </c>
      <c r="B18" s="5"/>
      <c r="C18" s="5"/>
      <c r="D18" s="5"/>
      <c r="E18" s="5"/>
      <c r="F18" s="25" t="s">
        <v>224</v>
      </c>
      <c r="G18" s="25" t="s">
        <v>242</v>
      </c>
      <c r="H18" s="47" t="s">
        <v>209</v>
      </c>
      <c r="I18" s="49" t="s">
        <v>210</v>
      </c>
      <c r="J18" s="47" t="s">
        <v>215</v>
      </c>
      <c r="K18" s="51" t="s">
        <v>211</v>
      </c>
      <c r="L18" s="49" t="s">
        <v>216</v>
      </c>
      <c r="M18" s="53" t="s">
        <v>212</v>
      </c>
      <c r="N18" t="s">
        <v>287</v>
      </c>
      <c r="O18" t="s">
        <v>287</v>
      </c>
      <c r="P18" s="55" t="s">
        <v>213</v>
      </c>
      <c r="Q18" s="57" t="s">
        <v>214</v>
      </c>
      <c r="R18" s="105" t="s">
        <v>278</v>
      </c>
      <c r="S18" s="85" t="s">
        <v>288</v>
      </c>
      <c r="T18" s="19" t="s">
        <v>264</v>
      </c>
      <c r="U18" s="19" t="s">
        <v>264</v>
      </c>
      <c r="V18" s="19" t="s">
        <v>265</v>
      </c>
      <c r="W18" s="19" t="s">
        <v>266</v>
      </c>
      <c r="X18" s="19" t="s">
        <v>266</v>
      </c>
      <c r="Y18" s="19" t="s">
        <v>266</v>
      </c>
      <c r="Z18" s="19" t="s">
        <v>266</v>
      </c>
    </row>
    <row r="19" spans="1:26" ht="15.75" customHeight="1" outlineLevel="1" x14ac:dyDescent="0.25">
      <c r="A19" s="25" t="s">
        <v>238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1" t="s">
        <v>217</v>
      </c>
      <c r="O19" s="53" t="s">
        <v>218</v>
      </c>
      <c r="P19" s="55" t="s">
        <v>219</v>
      </c>
      <c r="Q19" s="105" t="s">
        <v>220</v>
      </c>
      <c r="R19" s="105" t="s">
        <v>279</v>
      </c>
      <c r="S19" s="85" t="s">
        <v>288</v>
      </c>
      <c r="T19" s="19" t="s">
        <v>264</v>
      </c>
      <c r="U19" s="19" t="s">
        <v>264</v>
      </c>
      <c r="V19" s="102"/>
      <c r="W19" s="103"/>
      <c r="X19" s="103"/>
      <c r="Y19" s="103"/>
      <c r="Z19" s="103"/>
    </row>
    <row r="20" spans="1:26" ht="15.75" customHeight="1" x14ac:dyDescent="0.25">
      <c r="A20" s="91" t="s">
        <v>60</v>
      </c>
      <c r="B20" s="90"/>
      <c r="C20" s="90"/>
      <c r="D20" s="89"/>
      <c r="E20" s="89"/>
      <c r="F20" s="89"/>
      <c r="G20" s="89"/>
      <c r="H20" s="89"/>
      <c r="I20" s="96"/>
      <c r="J20" s="15"/>
      <c r="K20" s="15"/>
      <c r="L20" s="15"/>
      <c r="M20" s="15"/>
      <c r="N20" s="15"/>
      <c r="O20" s="15"/>
      <c r="P20" s="15"/>
      <c r="Q20" s="15"/>
      <c r="R20" s="15"/>
      <c r="S20" s="83"/>
      <c r="T20" s="15"/>
      <c r="U20" s="15"/>
      <c r="V20" s="15"/>
      <c r="W20" s="15"/>
      <c r="X20" s="15"/>
      <c r="Y20" s="15"/>
      <c r="Z20" s="15"/>
    </row>
    <row r="21" spans="1:26" ht="15.75" customHeight="1" outlineLevel="1" x14ac:dyDescent="0.25">
      <c r="A21" s="17" t="s">
        <v>61</v>
      </c>
      <c r="B21" s="21"/>
      <c r="C21" s="21"/>
      <c r="D21" s="21"/>
      <c r="E21" s="21"/>
      <c r="F21" s="21"/>
      <c r="G21" s="21"/>
      <c r="H21" s="21"/>
      <c r="I21" s="21"/>
      <c r="J21" s="25" t="s">
        <v>240</v>
      </c>
      <c r="K21" s="63" t="s">
        <v>192</v>
      </c>
      <c r="L21" s="62" t="s">
        <v>193</v>
      </c>
      <c r="M21" s="61" t="s">
        <v>194</v>
      </c>
      <c r="N21" s="60" t="s">
        <v>195</v>
      </c>
      <c r="O21" s="85" t="s">
        <v>287</v>
      </c>
      <c r="P21" s="59" t="s">
        <v>196</v>
      </c>
      <c r="Q21" s="58" t="s">
        <v>197</v>
      </c>
      <c r="R21" s="58" t="s">
        <v>284</v>
      </c>
      <c r="S21" s="85" t="s">
        <v>288</v>
      </c>
      <c r="T21" s="19" t="s">
        <v>264</v>
      </c>
      <c r="U21" s="19" t="s">
        <v>264</v>
      </c>
      <c r="V21" s="19" t="s">
        <v>265</v>
      </c>
      <c r="W21" s="19" t="s">
        <v>266</v>
      </c>
      <c r="X21" s="19" t="s">
        <v>266</v>
      </c>
      <c r="Y21" s="19" t="s">
        <v>266</v>
      </c>
      <c r="Z21" s="19" t="s">
        <v>266</v>
      </c>
    </row>
    <row r="22" spans="1:26" ht="15.75" customHeight="1" outlineLevel="1" x14ac:dyDescent="0.25">
      <c r="A22" s="25" t="s">
        <v>233</v>
      </c>
      <c r="B22" s="21"/>
      <c r="C22" s="21"/>
      <c r="D22" s="21"/>
      <c r="E22" s="21"/>
      <c r="F22" s="21"/>
      <c r="G22" s="21"/>
      <c r="H22" s="21"/>
      <c r="I22" s="21"/>
      <c r="J22" s="25" t="s">
        <v>236</v>
      </c>
      <c r="K22" s="63" t="s">
        <v>198</v>
      </c>
      <c r="L22" s="62" t="s">
        <v>199</v>
      </c>
      <c r="M22" s="61" t="s">
        <v>200</v>
      </c>
      <c r="N22" s="60" t="s">
        <v>201</v>
      </c>
      <c r="O22" s="85" t="s">
        <v>287</v>
      </c>
      <c r="P22" s="59" t="s">
        <v>202</v>
      </c>
      <c r="Q22" s="58" t="s">
        <v>203</v>
      </c>
      <c r="R22" s="58" t="s">
        <v>285</v>
      </c>
      <c r="S22" s="85" t="s">
        <v>288</v>
      </c>
      <c r="T22" s="19" t="s">
        <v>264</v>
      </c>
      <c r="U22" s="19" t="s">
        <v>264</v>
      </c>
      <c r="V22" s="19" t="s">
        <v>265</v>
      </c>
      <c r="W22" s="19" t="s">
        <v>266</v>
      </c>
      <c r="X22" s="19" t="s">
        <v>266</v>
      </c>
      <c r="Y22" s="19" t="s">
        <v>266</v>
      </c>
      <c r="Z22" s="19" t="s">
        <v>266</v>
      </c>
    </row>
    <row r="23" spans="1:26" ht="15.75" customHeight="1" x14ac:dyDescent="0.25">
      <c r="A23" s="21"/>
      <c r="B23" s="5"/>
      <c r="C23" s="5"/>
      <c r="D23" s="21"/>
      <c r="E23" s="21"/>
      <c r="F23" s="21"/>
      <c r="G23" s="21"/>
      <c r="H23" s="21"/>
      <c r="I23" s="84"/>
      <c r="J23" s="21"/>
      <c r="K23" s="21"/>
      <c r="L23" s="21"/>
      <c r="M23" s="21"/>
      <c r="N23" s="21"/>
      <c r="O23" s="21"/>
      <c r="P23" s="21"/>
      <c r="Q23" s="21"/>
      <c r="R23" s="21"/>
      <c r="S23" s="84"/>
      <c r="T23" s="21"/>
      <c r="U23" s="21"/>
      <c r="V23" s="21"/>
      <c r="W23" s="21"/>
      <c r="X23" s="21"/>
      <c r="Y23" s="21"/>
      <c r="Z23" s="21"/>
    </row>
    <row r="24" spans="1:26" ht="15.75" customHeight="1" x14ac:dyDescent="0.25">
      <c r="B24" s="18"/>
      <c r="C24" s="18"/>
    </row>
    <row r="25" spans="1:26" ht="15.75" customHeight="1" x14ac:dyDescent="0.25">
      <c r="B25" s="18"/>
      <c r="C25" s="18"/>
      <c r="D25" s="22"/>
      <c r="E25" s="22"/>
    </row>
    <row r="26" spans="1:26" ht="15.75" customHeight="1" x14ac:dyDescent="0.25">
      <c r="B26" s="17" t="s">
        <v>55</v>
      </c>
      <c r="D26" s="17" t="s">
        <v>62</v>
      </c>
      <c r="E26" s="17" t="s">
        <v>63</v>
      </c>
      <c r="F26" s="92" t="s">
        <v>239</v>
      </c>
      <c r="J26" s="17" t="s">
        <v>62</v>
      </c>
      <c r="P26" s="22"/>
      <c r="Q26" s="22"/>
    </row>
    <row r="27" spans="1:26" ht="15.75" customHeight="1" x14ac:dyDescent="0.25">
      <c r="B27" s="18"/>
      <c r="D27" s="17" t="s">
        <v>64</v>
      </c>
      <c r="E27" s="17" t="s">
        <v>63</v>
      </c>
      <c r="F27" s="92" t="s">
        <v>239</v>
      </c>
      <c r="I27" s="88"/>
      <c r="J27" s="17" t="s">
        <v>64</v>
      </c>
    </row>
    <row r="28" spans="1:26" ht="13.2" x14ac:dyDescent="0.25">
      <c r="B28" s="18"/>
      <c r="D28" s="17" t="s">
        <v>65</v>
      </c>
      <c r="E28" s="17" t="s">
        <v>63</v>
      </c>
      <c r="F28" s="92" t="s">
        <v>239</v>
      </c>
      <c r="I28" s="88"/>
      <c r="J28" s="17" t="s">
        <v>65</v>
      </c>
    </row>
    <row r="29" spans="1:26" ht="13.2" x14ac:dyDescent="0.25">
      <c r="B29" s="18"/>
      <c r="D29" s="17" t="s">
        <v>66</v>
      </c>
      <c r="E29" s="17" t="s">
        <v>63</v>
      </c>
      <c r="F29" s="92" t="s">
        <v>239</v>
      </c>
      <c r="J29" s="17" t="s">
        <v>66</v>
      </c>
    </row>
    <row r="30" spans="1:26" ht="13.2" x14ac:dyDescent="0.25">
      <c r="B30" s="18"/>
      <c r="D30" s="17" t="s">
        <v>67</v>
      </c>
      <c r="E30" s="17" t="s">
        <v>63</v>
      </c>
      <c r="F30" s="17" t="s">
        <v>144</v>
      </c>
      <c r="H30" s="92" t="s">
        <v>239</v>
      </c>
      <c r="I30" s="88"/>
      <c r="J30" t="s">
        <v>157</v>
      </c>
      <c r="K30" t="s">
        <v>158</v>
      </c>
      <c r="L30" t="s">
        <v>159</v>
      </c>
      <c r="M30" t="s">
        <v>160</v>
      </c>
      <c r="O30" t="s">
        <v>263</v>
      </c>
    </row>
    <row r="31" spans="1:26" ht="13.2" x14ac:dyDescent="0.25">
      <c r="B31" s="18"/>
      <c r="D31" s="17" t="s">
        <v>68</v>
      </c>
      <c r="E31" s="17" t="s">
        <v>63</v>
      </c>
      <c r="F31" s="92" t="s">
        <v>239</v>
      </c>
      <c r="I31" s="88"/>
      <c r="J31" s="17" t="s">
        <v>68</v>
      </c>
    </row>
    <row r="32" spans="1:26" ht="13.2" x14ac:dyDescent="0.25">
      <c r="B32" s="18"/>
      <c r="D32" s="17" t="s">
        <v>69</v>
      </c>
      <c r="E32" s="17" t="s">
        <v>63</v>
      </c>
      <c r="F32" s="92" t="s">
        <v>239</v>
      </c>
      <c r="I32" s="88"/>
      <c r="J32" s="17" t="s">
        <v>69</v>
      </c>
    </row>
    <row r="33" spans="2:17" ht="13.2" x14ac:dyDescent="0.25">
      <c r="B33" s="18"/>
      <c r="D33" s="17" t="s">
        <v>70</v>
      </c>
      <c r="E33" s="17" t="s">
        <v>63</v>
      </c>
      <c r="F33" s="17" t="s">
        <v>145</v>
      </c>
      <c r="H33" s="92" t="s">
        <v>239</v>
      </c>
      <c r="I33" s="88"/>
      <c r="J33" t="s">
        <v>161</v>
      </c>
      <c r="K33" t="s">
        <v>162</v>
      </c>
      <c r="L33" t="s">
        <v>163</v>
      </c>
    </row>
    <row r="34" spans="2:17" ht="13.2" x14ac:dyDescent="0.25">
      <c r="B34" s="18"/>
      <c r="D34" s="17" t="s">
        <v>71</v>
      </c>
      <c r="E34" s="17" t="s">
        <v>63</v>
      </c>
      <c r="F34" s="92" t="s">
        <v>239</v>
      </c>
      <c r="I34" s="88"/>
      <c r="J34" s="17" t="s">
        <v>71</v>
      </c>
    </row>
    <row r="35" spans="2:17" ht="13.2" x14ac:dyDescent="0.25">
      <c r="B35" s="18"/>
      <c r="D35" s="17" t="s">
        <v>72</v>
      </c>
      <c r="E35" s="17" t="s">
        <v>63</v>
      </c>
      <c r="F35" s="17" t="s">
        <v>73</v>
      </c>
      <c r="I35" s="92" t="s">
        <v>239</v>
      </c>
      <c r="J35" s="46" t="s">
        <v>164</v>
      </c>
      <c r="K35" s="48" t="s">
        <v>165</v>
      </c>
      <c r="L35" s="50" t="s">
        <v>166</v>
      </c>
      <c r="M35" s="52" t="s">
        <v>167</v>
      </c>
      <c r="N35" s="54" t="s">
        <v>168</v>
      </c>
      <c r="O35" s="56" t="s">
        <v>169</v>
      </c>
      <c r="Q35" t="s">
        <v>263</v>
      </c>
    </row>
    <row r="36" spans="2:17" ht="13.2" x14ac:dyDescent="0.25">
      <c r="B36" s="18"/>
    </row>
    <row r="37" spans="2:17" ht="13.2" x14ac:dyDescent="0.25">
      <c r="B37" s="20" t="s">
        <v>51</v>
      </c>
      <c r="C37" s="17" t="s">
        <v>13</v>
      </c>
      <c r="D37" s="17" t="s">
        <v>74</v>
      </c>
      <c r="E37" s="17" t="s">
        <v>63</v>
      </c>
      <c r="F37" s="92" t="s">
        <v>239</v>
      </c>
      <c r="I37" s="88"/>
      <c r="J37" s="25" t="s">
        <v>247</v>
      </c>
    </row>
    <row r="38" spans="2:17" ht="13.2" x14ac:dyDescent="0.25">
      <c r="B38" s="18"/>
      <c r="D38" s="17" t="s">
        <v>75</v>
      </c>
      <c r="E38" s="17" t="s">
        <v>76</v>
      </c>
      <c r="F38" s="17" t="s">
        <v>77</v>
      </c>
      <c r="I38" s="92" t="s">
        <v>239</v>
      </c>
      <c r="J38" s="75" t="s">
        <v>228</v>
      </c>
      <c r="L38" s="76" t="s">
        <v>229</v>
      </c>
      <c r="N38" s="77" t="s">
        <v>230</v>
      </c>
      <c r="P38" s="78" t="s">
        <v>231</v>
      </c>
    </row>
    <row r="39" spans="2:17" ht="13.2" x14ac:dyDescent="0.25">
      <c r="D39" s="17" t="s">
        <v>78</v>
      </c>
      <c r="E39" s="17" t="s">
        <v>79</v>
      </c>
      <c r="F39" s="92" t="s">
        <v>239</v>
      </c>
      <c r="I39" s="88"/>
      <c r="J39" s="17" t="s">
        <v>78</v>
      </c>
    </row>
    <row r="40" spans="2:17" ht="13.2" x14ac:dyDescent="0.25">
      <c r="B40" s="13"/>
      <c r="D40" s="25" t="s">
        <v>80</v>
      </c>
      <c r="E40" s="17" t="s">
        <v>81</v>
      </c>
      <c r="F40" s="17" t="s">
        <v>82</v>
      </c>
      <c r="I40" s="88"/>
      <c r="J40" s="46" t="s">
        <v>170</v>
      </c>
      <c r="K40" s="48" t="s">
        <v>175</v>
      </c>
      <c r="L40" s="50" t="s">
        <v>174</v>
      </c>
      <c r="M40" s="52" t="s">
        <v>173</v>
      </c>
      <c r="N40" s="54" t="s">
        <v>172</v>
      </c>
      <c r="O40" s="56" t="s">
        <v>171</v>
      </c>
      <c r="Q40" t="s">
        <v>263</v>
      </c>
    </row>
    <row r="41" spans="2:17" ht="13.2" x14ac:dyDescent="0.25">
      <c r="B41" s="18"/>
      <c r="C41" s="18"/>
      <c r="D41" s="18" t="s">
        <v>83</v>
      </c>
      <c r="E41" s="18" t="s">
        <v>84</v>
      </c>
      <c r="J41" s="25" t="s">
        <v>83</v>
      </c>
      <c r="K41" s="25" t="s">
        <v>232</v>
      </c>
    </row>
    <row r="42" spans="2:17" ht="13.2" x14ac:dyDescent="0.25">
      <c r="B42" s="18"/>
      <c r="C42" s="18" t="s">
        <v>85</v>
      </c>
      <c r="D42" s="18" t="s">
        <v>86</v>
      </c>
      <c r="E42" s="17" t="s">
        <v>84</v>
      </c>
      <c r="F42" s="92" t="s">
        <v>239</v>
      </c>
      <c r="J42" s="18" t="s">
        <v>86</v>
      </c>
      <c r="K42" s="25" t="s">
        <v>223</v>
      </c>
    </row>
    <row r="43" spans="2:17" ht="13.2" x14ac:dyDescent="0.25">
      <c r="B43" s="18"/>
      <c r="C43" s="18"/>
      <c r="D43" s="17" t="s">
        <v>87</v>
      </c>
      <c r="E43" s="17" t="s">
        <v>63</v>
      </c>
      <c r="F43" s="17" t="s">
        <v>153</v>
      </c>
      <c r="I43" s="92" t="s">
        <v>239</v>
      </c>
      <c r="J43" s="64" t="s">
        <v>176</v>
      </c>
      <c r="K43" s="65" t="s">
        <v>183</v>
      </c>
      <c r="L43" s="66" t="s">
        <v>182</v>
      </c>
      <c r="M43" s="67" t="s">
        <v>181</v>
      </c>
      <c r="N43" s="68" t="s">
        <v>180</v>
      </c>
      <c r="O43" s="69" t="s">
        <v>179</v>
      </c>
      <c r="P43" s="70" t="s">
        <v>178</v>
      </c>
      <c r="Q43" s="71" t="s">
        <v>177</v>
      </c>
    </row>
    <row r="44" spans="2:17" ht="13.2" x14ac:dyDescent="0.25">
      <c r="B44" s="18"/>
      <c r="C44" s="18" t="s">
        <v>88</v>
      </c>
      <c r="D44" s="25" t="s">
        <v>221</v>
      </c>
      <c r="E44" s="17" t="s">
        <v>63</v>
      </c>
      <c r="F44" s="92" t="s">
        <v>239</v>
      </c>
      <c r="J44" s="25" t="s">
        <v>221</v>
      </c>
      <c r="K44" s="18"/>
      <c r="L44" s="18"/>
      <c r="M44" s="18"/>
      <c r="N44" s="18"/>
      <c r="O44" s="18"/>
      <c r="P44" s="18"/>
      <c r="Q44" s="18"/>
    </row>
    <row r="45" spans="2:17" ht="13.8" customHeight="1" x14ac:dyDescent="0.25">
      <c r="B45" s="18"/>
      <c r="C45" s="18" t="s">
        <v>88</v>
      </c>
      <c r="D45" s="17" t="s">
        <v>89</v>
      </c>
      <c r="E45" s="17" t="s">
        <v>63</v>
      </c>
      <c r="F45" s="17" t="s">
        <v>90</v>
      </c>
      <c r="I45" s="92" t="s">
        <v>239</v>
      </c>
      <c r="J45" s="64" t="s">
        <v>184</v>
      </c>
      <c r="K45" s="65" t="s">
        <v>185</v>
      </c>
      <c r="L45" s="66" t="s">
        <v>186</v>
      </c>
      <c r="M45" s="67" t="s">
        <v>187</v>
      </c>
      <c r="N45" s="68" t="s">
        <v>188</v>
      </c>
      <c r="O45" s="69" t="s">
        <v>189</v>
      </c>
      <c r="P45" s="70" t="s">
        <v>190</v>
      </c>
      <c r="Q45" s="71" t="s">
        <v>191</v>
      </c>
    </row>
    <row r="46" spans="2:17" ht="13.8" customHeight="1" x14ac:dyDescent="0.25">
      <c r="B46" s="25" t="s">
        <v>208</v>
      </c>
      <c r="C46" s="25"/>
      <c r="D46" s="25" t="s">
        <v>224</v>
      </c>
      <c r="E46" s="25" t="s">
        <v>63</v>
      </c>
      <c r="F46" s="92" t="s">
        <v>239</v>
      </c>
      <c r="J46" s="25" t="s">
        <v>241</v>
      </c>
    </row>
    <row r="47" spans="2:17" ht="13.8" customHeight="1" x14ac:dyDescent="0.25">
      <c r="B47" s="25"/>
      <c r="C47" s="25"/>
      <c r="D47" s="25" t="s">
        <v>225</v>
      </c>
      <c r="E47" s="25" t="s">
        <v>63</v>
      </c>
      <c r="F47" s="25"/>
      <c r="J47" s="25" t="s">
        <v>242</v>
      </c>
    </row>
    <row r="48" spans="2:17" ht="13.2" x14ac:dyDescent="0.25">
      <c r="B48" s="25"/>
      <c r="C48" s="25" t="s">
        <v>204</v>
      </c>
      <c r="D48" s="25" t="s">
        <v>206</v>
      </c>
      <c r="E48" s="25" t="s">
        <v>63</v>
      </c>
      <c r="F48" s="25" t="s">
        <v>226</v>
      </c>
      <c r="J48" s="47" t="s">
        <v>209</v>
      </c>
      <c r="K48" s="49" t="s">
        <v>210</v>
      </c>
      <c r="L48" s="51" t="s">
        <v>211</v>
      </c>
      <c r="M48" s="53" t="s">
        <v>212</v>
      </c>
      <c r="N48" s="55" t="s">
        <v>213</v>
      </c>
      <c r="O48" s="57" t="s">
        <v>214</v>
      </c>
      <c r="Q48" t="s">
        <v>263</v>
      </c>
    </row>
    <row r="49" spans="2:17" ht="13.2" x14ac:dyDescent="0.25">
      <c r="B49" s="25"/>
      <c r="C49" s="25" t="s">
        <v>205</v>
      </c>
      <c r="D49" s="25" t="s">
        <v>207</v>
      </c>
      <c r="E49" s="25" t="s">
        <v>63</v>
      </c>
      <c r="F49" s="25" t="s">
        <v>227</v>
      </c>
      <c r="J49" s="47" t="s">
        <v>215</v>
      </c>
      <c r="K49" s="49" t="s">
        <v>216</v>
      </c>
      <c r="L49" s="51" t="s">
        <v>217</v>
      </c>
      <c r="M49" s="53" t="s">
        <v>218</v>
      </c>
      <c r="N49" s="55" t="s">
        <v>219</v>
      </c>
      <c r="O49" s="57" t="s">
        <v>220</v>
      </c>
      <c r="Q49" t="s">
        <v>263</v>
      </c>
    </row>
    <row r="50" spans="2:17" ht="13.2" x14ac:dyDescent="0.25">
      <c r="B50" s="18"/>
      <c r="C50" s="18"/>
    </row>
    <row r="51" spans="2:17" ht="13.2" x14ac:dyDescent="0.25">
      <c r="B51" s="18"/>
      <c r="C51" s="18"/>
    </row>
    <row r="52" spans="2:17" ht="13.2" x14ac:dyDescent="0.25">
      <c r="B52" s="18"/>
      <c r="C52" s="18"/>
    </row>
    <row r="53" spans="2:17" ht="13.2" x14ac:dyDescent="0.25">
      <c r="B53" s="18"/>
      <c r="C53" s="18"/>
      <c r="D53" s="25"/>
    </row>
    <row r="54" spans="2:17" ht="13.2" x14ac:dyDescent="0.25">
      <c r="B54" s="18" t="s">
        <v>91</v>
      </c>
      <c r="D54" s="25" t="s">
        <v>240</v>
      </c>
      <c r="E54" s="17" t="s">
        <v>63</v>
      </c>
      <c r="F54" s="92"/>
      <c r="J54" s="63" t="s">
        <v>192</v>
      </c>
      <c r="K54" s="62" t="s">
        <v>193</v>
      </c>
      <c r="L54" s="61" t="s">
        <v>194</v>
      </c>
      <c r="M54" s="60" t="s">
        <v>195</v>
      </c>
      <c r="N54" s="59" t="s">
        <v>196</v>
      </c>
      <c r="O54" s="58" t="s">
        <v>197</v>
      </c>
      <c r="Q54" t="s">
        <v>263</v>
      </c>
    </row>
    <row r="55" spans="2:17" ht="13.2" x14ac:dyDescent="0.25">
      <c r="B55" s="18"/>
      <c r="D55" s="17" t="s">
        <v>151</v>
      </c>
      <c r="E55" s="17" t="s">
        <v>63</v>
      </c>
      <c r="J55" s="63" t="s">
        <v>198</v>
      </c>
      <c r="K55" s="62" t="s">
        <v>199</v>
      </c>
      <c r="L55" s="61" t="s">
        <v>200</v>
      </c>
      <c r="M55" s="60" t="s">
        <v>201</v>
      </c>
      <c r="N55" s="59" t="s">
        <v>202</v>
      </c>
      <c r="O55" s="58" t="s">
        <v>203</v>
      </c>
      <c r="Q55" t="s">
        <v>263</v>
      </c>
    </row>
    <row r="56" spans="2:17" ht="13.2" x14ac:dyDescent="0.25">
      <c r="B56" s="18" t="s">
        <v>92</v>
      </c>
      <c r="D56" s="25" t="s">
        <v>236</v>
      </c>
      <c r="E56" s="17" t="s">
        <v>63</v>
      </c>
      <c r="F56" s="92"/>
    </row>
    <row r="57" spans="2:17" ht="13.2" x14ac:dyDescent="0.25">
      <c r="B57" s="18"/>
      <c r="C57" s="18"/>
      <c r="D57" s="17" t="s">
        <v>152</v>
      </c>
      <c r="E57" s="17" t="s">
        <v>63</v>
      </c>
    </row>
    <row r="58" spans="2:17" ht="13.2" x14ac:dyDescent="0.25">
      <c r="B58" s="18"/>
      <c r="C58" s="18"/>
      <c r="D58" s="18"/>
      <c r="E58" s="18"/>
      <c r="F58" s="18"/>
    </row>
    <row r="59" spans="2:17" ht="13.2" x14ac:dyDescent="0.25">
      <c r="B59" s="18"/>
      <c r="C59" s="18"/>
    </row>
    <row r="60" spans="2:17" ht="13.2" x14ac:dyDescent="0.25">
      <c r="B60" s="18" t="s">
        <v>93</v>
      </c>
      <c r="C60" s="18"/>
      <c r="D60" s="98" t="s">
        <v>255</v>
      </c>
      <c r="E60" s="17" t="s">
        <v>63</v>
      </c>
      <c r="J60" s="98" t="s">
        <v>252</v>
      </c>
      <c r="K60" s="98" t="s">
        <v>253</v>
      </c>
      <c r="L60" s="98" t="s">
        <v>254</v>
      </c>
      <c r="N60" t="s">
        <v>263</v>
      </c>
    </row>
    <row r="61" spans="2:17" ht="13.2" x14ac:dyDescent="0.25">
      <c r="B61" s="18"/>
      <c r="C61" s="18"/>
      <c r="D61" s="25" t="s">
        <v>256</v>
      </c>
      <c r="E61" s="17" t="s">
        <v>63</v>
      </c>
      <c r="J61" s="25" t="s">
        <v>249</v>
      </c>
      <c r="K61" s="99" t="s">
        <v>250</v>
      </c>
      <c r="L61" s="100" t="s">
        <v>251</v>
      </c>
      <c r="N61" t="s">
        <v>263</v>
      </c>
    </row>
    <row r="62" spans="2:17" ht="13.2" x14ac:dyDescent="0.25">
      <c r="B62" s="18"/>
      <c r="C62" s="18"/>
      <c r="D62" s="101" t="s">
        <v>234</v>
      </c>
      <c r="F62" s="92" t="s">
        <v>239</v>
      </c>
    </row>
    <row r="63" spans="2:17" ht="13.2" x14ac:dyDescent="0.25">
      <c r="B63" s="18"/>
      <c r="C63" s="18"/>
      <c r="D63" s="20" t="s">
        <v>262</v>
      </c>
      <c r="F63" s="92" t="s">
        <v>239</v>
      </c>
    </row>
    <row r="64" spans="2:17" ht="13.2" x14ac:dyDescent="0.25">
      <c r="B64" s="18"/>
      <c r="C64" s="18"/>
      <c r="D64" t="s">
        <v>268</v>
      </c>
      <c r="E64" s="17" t="s">
        <v>63</v>
      </c>
      <c r="F64" s="18"/>
    </row>
    <row r="65" spans="2:6" ht="13.2" x14ac:dyDescent="0.25">
      <c r="B65" s="18"/>
      <c r="C65" s="18"/>
      <c r="D65" t="s">
        <v>269</v>
      </c>
      <c r="E65" s="17" t="s">
        <v>63</v>
      </c>
      <c r="F65" s="18"/>
    </row>
    <row r="66" spans="2:6" ht="13.2" x14ac:dyDescent="0.25">
      <c r="B66" s="18"/>
      <c r="C66" s="18"/>
    </row>
    <row r="67" spans="2:6" ht="13.2" x14ac:dyDescent="0.25">
      <c r="B67" s="18"/>
      <c r="C67" s="18"/>
    </row>
    <row r="68" spans="2:6" ht="13.2" x14ac:dyDescent="0.25">
      <c r="B68" s="18"/>
      <c r="C68" s="18"/>
      <c r="D68" s="18"/>
      <c r="E68" s="18"/>
    </row>
    <row r="69" spans="2:6" ht="13.2" x14ac:dyDescent="0.25">
      <c r="B69" s="18"/>
      <c r="C69" s="18"/>
      <c r="D69" s="18"/>
      <c r="E69" s="18"/>
    </row>
    <row r="70" spans="2:6" ht="13.2" x14ac:dyDescent="0.25">
      <c r="B70" s="18"/>
      <c r="C70" s="18"/>
    </row>
  </sheetData>
  <mergeCells count="23">
    <mergeCell ref="N1:O1"/>
    <mergeCell ref="B1:C1"/>
    <mergeCell ref="D1:E1"/>
    <mergeCell ref="F1:G1"/>
    <mergeCell ref="H1:I1"/>
    <mergeCell ref="L1:M1"/>
    <mergeCell ref="B2:C2"/>
    <mergeCell ref="D2:E2"/>
    <mergeCell ref="F2:G2"/>
    <mergeCell ref="H2:I2"/>
    <mergeCell ref="J2:K2"/>
    <mergeCell ref="P1:Q1"/>
    <mergeCell ref="R1:S1"/>
    <mergeCell ref="T1:U1"/>
    <mergeCell ref="V1:W1"/>
    <mergeCell ref="X1:Y1"/>
    <mergeCell ref="X2:Y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 summaryRight="0"/>
  </sheetPr>
  <dimension ref="A1:AI12"/>
  <sheetViews>
    <sheetView workbookViewId="0">
      <selection activeCell="G17" sqref="G17"/>
    </sheetView>
  </sheetViews>
  <sheetFormatPr baseColWidth="10" defaultColWidth="14.44140625" defaultRowHeight="15.75" customHeight="1" x14ac:dyDescent="0.25"/>
  <cols>
    <col min="1" max="1" width="27.21875" customWidth="1"/>
  </cols>
  <sheetData>
    <row r="1" spans="1:35" ht="15.75" customHeight="1" x14ac:dyDescent="0.25">
      <c r="A1" s="41" t="s">
        <v>94</v>
      </c>
      <c r="B1" s="42"/>
      <c r="C1" s="42"/>
      <c r="D1" s="41" t="s">
        <v>95</v>
      </c>
      <c r="E1" s="23" t="s">
        <v>96</v>
      </c>
    </row>
    <row r="2" spans="1:35" ht="15.75" customHeight="1" x14ac:dyDescent="0.25">
      <c r="A2" s="17" t="s">
        <v>97</v>
      </c>
      <c r="B2" s="24">
        <v>43868</v>
      </c>
      <c r="C2" s="17" t="s">
        <v>98</v>
      </c>
      <c r="D2" s="39">
        <v>6</v>
      </c>
      <c r="E2" s="23">
        <v>6</v>
      </c>
    </row>
    <row r="3" spans="1:35" ht="15.75" customHeight="1" x14ac:dyDescent="0.25">
      <c r="A3" s="17" t="s">
        <v>99</v>
      </c>
      <c r="B3" s="24">
        <v>43834</v>
      </c>
      <c r="C3" s="17" t="s">
        <v>100</v>
      </c>
      <c r="D3" s="39">
        <v>4</v>
      </c>
      <c r="E3" s="23">
        <v>4</v>
      </c>
    </row>
    <row r="4" spans="1:35" ht="15.75" customHeight="1" x14ac:dyDescent="0.25">
      <c r="A4" s="17" t="s">
        <v>101</v>
      </c>
      <c r="B4" s="24">
        <v>43898</v>
      </c>
      <c r="C4" s="17" t="s">
        <v>102</v>
      </c>
      <c r="D4" s="39">
        <v>7</v>
      </c>
      <c r="E4" s="23">
        <v>6</v>
      </c>
    </row>
    <row r="5" spans="1:35" ht="15.75" customHeight="1" x14ac:dyDescent="0.25">
      <c r="A5" s="17" t="s">
        <v>103</v>
      </c>
      <c r="B5" s="24">
        <v>43931</v>
      </c>
      <c r="C5" s="17" t="s">
        <v>104</v>
      </c>
      <c r="D5" s="39">
        <v>7</v>
      </c>
      <c r="E5" s="23">
        <v>16</v>
      </c>
    </row>
    <row r="6" spans="1:35" ht="15.75" customHeight="1" x14ac:dyDescent="0.25">
      <c r="E6" s="23">
        <f>E2*E3*E4*E5</f>
        <v>2304</v>
      </c>
    </row>
    <row r="8" spans="1:35" ht="15.75" customHeight="1" x14ac:dyDescent="0.25">
      <c r="AI8" s="93" t="s">
        <v>243</v>
      </c>
    </row>
    <row r="12" spans="1:35" ht="30.6" customHeight="1" x14ac:dyDescent="0.25">
      <c r="B12" s="24"/>
      <c r="C12" s="40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outlinePr summaryBelow="0" summaryRight="0"/>
  </sheetPr>
  <dimension ref="A1:G42"/>
  <sheetViews>
    <sheetView topLeftCell="A4" workbookViewId="0">
      <selection activeCell="E20" sqref="E20"/>
    </sheetView>
  </sheetViews>
  <sheetFormatPr baseColWidth="10" defaultColWidth="14.44140625" defaultRowHeight="15.75" customHeight="1" x14ac:dyDescent="0.25"/>
  <cols>
    <col min="1" max="1" width="25.33203125" style="31" customWidth="1"/>
    <col min="2" max="2" width="59.33203125" style="31" customWidth="1"/>
    <col min="3" max="3" width="64" style="31" customWidth="1"/>
    <col min="4" max="4" width="15" customWidth="1"/>
  </cols>
  <sheetData>
    <row r="1" spans="1:7" ht="15.75" customHeight="1" x14ac:dyDescent="0.25">
      <c r="A1" s="122" t="s">
        <v>105</v>
      </c>
      <c r="B1" s="117"/>
      <c r="C1" s="117"/>
    </row>
    <row r="2" spans="1:7" ht="15.75" customHeight="1" x14ac:dyDescent="0.25">
      <c r="A2" s="26" t="s">
        <v>106</v>
      </c>
      <c r="B2" s="26" t="s">
        <v>107</v>
      </c>
      <c r="C2" s="35" t="s">
        <v>108</v>
      </c>
    </row>
    <row r="3" spans="1:7" ht="15.75" customHeight="1" x14ac:dyDescent="0.25">
      <c r="A3" s="27" t="s">
        <v>51</v>
      </c>
      <c r="B3" s="27"/>
      <c r="C3" s="36"/>
      <c r="E3" s="75" t="s">
        <v>228</v>
      </c>
      <c r="F3" s="64" t="s">
        <v>176</v>
      </c>
      <c r="G3" s="64" t="s">
        <v>184</v>
      </c>
    </row>
    <row r="4" spans="1:7" ht="15.75" customHeight="1" x14ac:dyDescent="0.25">
      <c r="A4" s="28" t="s">
        <v>13</v>
      </c>
      <c r="B4" s="33" t="s">
        <v>74</v>
      </c>
      <c r="C4" s="32" t="s">
        <v>109</v>
      </c>
      <c r="D4" t="s">
        <v>277</v>
      </c>
    </row>
    <row r="5" spans="1:7" ht="15.75" customHeight="1" x14ac:dyDescent="0.25">
      <c r="A5" s="28"/>
      <c r="B5" s="33" t="s">
        <v>110</v>
      </c>
      <c r="C5" s="32" t="s">
        <v>146</v>
      </c>
      <c r="D5" t="s">
        <v>277</v>
      </c>
    </row>
    <row r="6" spans="1:7" ht="15.75" customHeight="1" x14ac:dyDescent="0.25">
      <c r="A6" s="28"/>
      <c r="B6" s="33" t="s">
        <v>111</v>
      </c>
      <c r="C6" s="37" t="s">
        <v>135</v>
      </c>
      <c r="D6" t="s">
        <v>277</v>
      </c>
      <c r="E6" t="s">
        <v>270</v>
      </c>
    </row>
    <row r="7" spans="1:7" ht="15.75" customHeight="1" x14ac:dyDescent="0.25">
      <c r="A7" s="29" t="s">
        <v>112</v>
      </c>
      <c r="B7" s="29"/>
      <c r="C7" s="30"/>
      <c r="E7" s="46" t="s">
        <v>170</v>
      </c>
      <c r="F7" s="47" t="s">
        <v>209</v>
      </c>
      <c r="G7" s="47" t="s">
        <v>215</v>
      </c>
    </row>
    <row r="8" spans="1:7" ht="15.75" customHeight="1" x14ac:dyDescent="0.25">
      <c r="A8" s="28" t="s">
        <v>113</v>
      </c>
      <c r="B8" s="34" t="s">
        <v>114</v>
      </c>
      <c r="C8" s="32" t="s">
        <v>136</v>
      </c>
      <c r="D8" t="s">
        <v>277</v>
      </c>
      <c r="G8" s="63" t="s">
        <v>192</v>
      </c>
    </row>
    <row r="9" spans="1:7" ht="15.75" customHeight="1" x14ac:dyDescent="0.25">
      <c r="A9" s="30" t="s">
        <v>88</v>
      </c>
      <c r="B9" s="29"/>
      <c r="C9" s="30"/>
      <c r="G9" s="63" t="s">
        <v>198</v>
      </c>
    </row>
    <row r="10" spans="1:7" ht="15.75" customHeight="1" x14ac:dyDescent="0.25">
      <c r="A10" s="45" t="s">
        <v>245</v>
      </c>
      <c r="B10" s="95" t="s">
        <v>246</v>
      </c>
      <c r="C10"/>
      <c r="D10" t="s">
        <v>277</v>
      </c>
    </row>
    <row r="11" spans="1:7" ht="27" customHeight="1" x14ac:dyDescent="0.25">
      <c r="A11" s="28" t="s">
        <v>113</v>
      </c>
      <c r="B11" s="44" t="s">
        <v>244</v>
      </c>
      <c r="C11" s="32" t="s">
        <v>148</v>
      </c>
      <c r="D11" t="s">
        <v>277</v>
      </c>
    </row>
    <row r="12" spans="1:7" ht="15.75" customHeight="1" x14ac:dyDescent="0.25">
      <c r="A12" s="29" t="s">
        <v>115</v>
      </c>
      <c r="B12" s="29" t="s">
        <v>147</v>
      </c>
      <c r="C12" s="30"/>
    </row>
    <row r="13" spans="1:7" ht="15.75" customHeight="1" x14ac:dyDescent="0.25">
      <c r="A13" s="28" t="s">
        <v>115</v>
      </c>
      <c r="B13" s="34" t="s">
        <v>116</v>
      </c>
      <c r="C13" s="32" t="s">
        <v>117</v>
      </c>
    </row>
    <row r="14" spans="1:7" ht="15.75" customHeight="1" x14ac:dyDescent="0.25">
      <c r="A14" s="28"/>
      <c r="B14" s="34"/>
      <c r="C14" s="37" t="s">
        <v>139</v>
      </c>
    </row>
    <row r="15" spans="1:7" ht="15.75" customHeight="1" x14ac:dyDescent="0.25">
      <c r="A15" s="30" t="s">
        <v>55</v>
      </c>
      <c r="B15" s="30"/>
      <c r="C15" s="30"/>
    </row>
    <row r="16" spans="1:7" ht="15.75" customHeight="1" x14ac:dyDescent="0.25">
      <c r="B16" s="33" t="s">
        <v>118</v>
      </c>
      <c r="C16" s="32" t="s">
        <v>119</v>
      </c>
      <c r="D16" t="s">
        <v>277</v>
      </c>
    </row>
    <row r="17" spans="1:4" ht="15.75" customHeight="1" x14ac:dyDescent="0.25">
      <c r="B17" s="33" t="s">
        <v>120</v>
      </c>
      <c r="C17" s="32" t="s">
        <v>119</v>
      </c>
      <c r="D17" t="s">
        <v>277</v>
      </c>
    </row>
    <row r="18" spans="1:4" ht="13.2" x14ac:dyDescent="0.25">
      <c r="B18" s="33" t="s">
        <v>68</v>
      </c>
      <c r="C18" s="32" t="s">
        <v>137</v>
      </c>
      <c r="D18" t="s">
        <v>277</v>
      </c>
    </row>
    <row r="19" spans="1:4" ht="13.2" x14ac:dyDescent="0.25">
      <c r="B19" s="33" t="s">
        <v>121</v>
      </c>
      <c r="C19" s="45" t="s">
        <v>155</v>
      </c>
      <c r="D19" t="s">
        <v>277</v>
      </c>
    </row>
    <row r="20" spans="1:4" ht="13.2" x14ac:dyDescent="0.25">
      <c r="B20" s="33" t="s">
        <v>122</v>
      </c>
      <c r="C20" s="32" t="s">
        <v>123</v>
      </c>
      <c r="D20" t="s">
        <v>277</v>
      </c>
    </row>
    <row r="21" spans="1:4" ht="13.2" x14ac:dyDescent="0.25">
      <c r="A21" s="32"/>
      <c r="B21" s="33" t="s">
        <v>124</v>
      </c>
      <c r="C21" s="32" t="s">
        <v>257</v>
      </c>
    </row>
    <row r="22" spans="1:4" ht="13.2" x14ac:dyDescent="0.25">
      <c r="A22" s="30" t="s">
        <v>125</v>
      </c>
      <c r="B22" s="30"/>
      <c r="C22" s="30"/>
    </row>
    <row r="23" spans="1:4" ht="13.2" x14ac:dyDescent="0.25">
      <c r="B23" s="33" t="s">
        <v>126</v>
      </c>
    </row>
    <row r="24" spans="1:4" ht="13.2" x14ac:dyDescent="0.25">
      <c r="B24" s="33" t="s">
        <v>127</v>
      </c>
      <c r="C24" s="32" t="s">
        <v>138</v>
      </c>
    </row>
    <row r="25" spans="1:4" ht="13.2" x14ac:dyDescent="0.25">
      <c r="A25" s="30" t="s">
        <v>92</v>
      </c>
      <c r="B25" s="30"/>
      <c r="C25" s="30"/>
    </row>
    <row r="26" spans="1:4" ht="26.4" x14ac:dyDescent="0.25">
      <c r="B26" s="33" t="s">
        <v>128</v>
      </c>
      <c r="C26" s="38" t="s">
        <v>149</v>
      </c>
    </row>
    <row r="27" spans="1:4" ht="13.2" x14ac:dyDescent="0.25">
      <c r="A27" s="30" t="s">
        <v>258</v>
      </c>
      <c r="B27" s="30"/>
      <c r="C27" s="30"/>
    </row>
    <row r="28" spans="1:4" ht="13.2" x14ac:dyDescent="0.25">
      <c r="B28" s="33" t="s">
        <v>259</v>
      </c>
      <c r="C28" s="38" t="s">
        <v>260</v>
      </c>
    </row>
    <row r="29" spans="1:4" ht="13.2" x14ac:dyDescent="0.25">
      <c r="B29" s="33" t="s">
        <v>99</v>
      </c>
      <c r="C29" s="38" t="s">
        <v>261</v>
      </c>
    </row>
    <row r="30" spans="1:4" ht="13.2" x14ac:dyDescent="0.25">
      <c r="A30" s="29" t="s">
        <v>129</v>
      </c>
      <c r="B30" s="29" t="s">
        <v>130</v>
      </c>
      <c r="C30" s="30"/>
    </row>
    <row r="31" spans="1:4" ht="13.2" x14ac:dyDescent="0.25"/>
    <row r="32" spans="1:4" ht="13.2" x14ac:dyDescent="0.25">
      <c r="C32" s="33"/>
    </row>
    <row r="33" spans="1:6" ht="13.2" x14ac:dyDescent="0.25">
      <c r="A33" s="97" t="s">
        <v>248</v>
      </c>
      <c r="C33" s="33"/>
    </row>
    <row r="34" spans="1:6" ht="13.2" x14ac:dyDescent="0.25">
      <c r="A34" s="33"/>
      <c r="B34" s="33"/>
      <c r="C34" s="33"/>
    </row>
    <row r="35" spans="1:6" ht="13.2" x14ac:dyDescent="0.25">
      <c r="A35" s="33"/>
      <c r="B35" s="33"/>
      <c r="C35" s="33"/>
    </row>
    <row r="36" spans="1:6" ht="15.75" customHeight="1" x14ac:dyDescent="0.25">
      <c r="A36" s="33"/>
      <c r="B36" s="33"/>
      <c r="C36" s="33"/>
      <c r="D36" s="33"/>
      <c r="E36" s="33"/>
      <c r="F36" s="33"/>
    </row>
    <row r="37" spans="1:6" ht="13.2" x14ac:dyDescent="0.25">
      <c r="A37" s="33"/>
      <c r="B37" s="33"/>
      <c r="C37" s="33"/>
      <c r="D37" s="33"/>
      <c r="E37" s="33"/>
      <c r="F37" s="33"/>
    </row>
    <row r="38" spans="1:6" ht="15.75" customHeight="1" x14ac:dyDescent="0.25">
      <c r="A38" s="33"/>
      <c r="B38" s="33"/>
      <c r="C38" s="33"/>
      <c r="D38" s="33"/>
      <c r="E38" s="33"/>
      <c r="F38" s="33"/>
    </row>
    <row r="39" spans="1:6" ht="15.75" customHeight="1" x14ac:dyDescent="0.25">
      <c r="A39" s="33"/>
      <c r="B39" s="33"/>
      <c r="C39" s="33"/>
      <c r="D39" s="33"/>
      <c r="E39" s="33"/>
      <c r="F39" s="33"/>
    </row>
    <row r="40" spans="1:6" ht="15.75" customHeight="1" x14ac:dyDescent="0.25">
      <c r="A40" s="33"/>
      <c r="B40" s="33"/>
      <c r="C40" s="33"/>
      <c r="D40" s="33"/>
      <c r="E40" s="33"/>
      <c r="F40" s="33"/>
    </row>
    <row r="41" spans="1:6" ht="51.75" customHeight="1" x14ac:dyDescent="0.25">
      <c r="A41" s="94"/>
    </row>
    <row r="42" spans="1:6" ht="41.7" customHeight="1" x14ac:dyDescent="0.25">
      <c r="A42" s="94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outlinePr summaryBelow="0" summaryRight="0"/>
  </sheetPr>
  <dimension ref="A1:A7"/>
  <sheetViews>
    <sheetView workbookViewId="0">
      <selection activeCell="B13" sqref="B13"/>
    </sheetView>
  </sheetViews>
  <sheetFormatPr baseColWidth="10" defaultColWidth="14.44140625" defaultRowHeight="15.75" customHeight="1" x14ac:dyDescent="0.25"/>
  <sheetData>
    <row r="1" spans="1:1" ht="15.75" customHeight="1" x14ac:dyDescent="0.25">
      <c r="A1" s="17" t="s">
        <v>131</v>
      </c>
    </row>
    <row r="2" spans="1:1" ht="15.75" customHeight="1" x14ac:dyDescent="0.25">
      <c r="A2" s="17" t="s">
        <v>132</v>
      </c>
    </row>
    <row r="4" spans="1:1" ht="15.75" customHeight="1" x14ac:dyDescent="0.25">
      <c r="A4" s="17" t="s">
        <v>150</v>
      </c>
    </row>
    <row r="5" spans="1:1" ht="15.75" customHeight="1" x14ac:dyDescent="0.25">
      <c r="A5" s="17" t="s">
        <v>133</v>
      </c>
    </row>
    <row r="6" spans="1:1" ht="15.75" customHeight="1" x14ac:dyDescent="0.25">
      <c r="A6" s="17"/>
    </row>
    <row r="7" spans="1:1" ht="15.75" customHeight="1" x14ac:dyDescent="0.25">
      <c r="A7" s="17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5C9D-3CC2-48E6-B792-976BE78D67EC}">
  <dimension ref="A1:Z7"/>
  <sheetViews>
    <sheetView workbookViewId="0">
      <selection activeCell="C11" sqref="C11"/>
    </sheetView>
  </sheetViews>
  <sheetFormatPr baseColWidth="10" defaultRowHeight="13.2" x14ac:dyDescent="0.25"/>
  <sheetData>
    <row r="1" spans="1:26" x14ac:dyDescent="0.25">
      <c r="A1" s="1" t="s">
        <v>292</v>
      </c>
    </row>
    <row r="2" spans="1:26" x14ac:dyDescent="0.25">
      <c r="A2" s="1"/>
      <c r="B2" s="123" t="s">
        <v>290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spans="1:26" x14ac:dyDescent="0.25">
      <c r="B3" s="121" t="s">
        <v>0</v>
      </c>
      <c r="C3" s="117"/>
      <c r="D3" s="116" t="s">
        <v>1</v>
      </c>
      <c r="E3" s="117"/>
      <c r="F3" s="118" t="s">
        <v>2</v>
      </c>
      <c r="G3" s="117"/>
      <c r="H3" s="116" t="s">
        <v>3</v>
      </c>
      <c r="I3" s="117"/>
      <c r="J3" s="3" t="s">
        <v>4</v>
      </c>
      <c r="K3" s="3"/>
      <c r="L3" s="116" t="s">
        <v>5</v>
      </c>
      <c r="M3" s="117"/>
      <c r="N3" s="118" t="s">
        <v>6</v>
      </c>
      <c r="O3" s="117"/>
      <c r="P3" s="116" t="s">
        <v>7</v>
      </c>
      <c r="Q3" s="117"/>
      <c r="R3" s="118" t="s">
        <v>8</v>
      </c>
      <c r="S3" s="117"/>
      <c r="T3" s="118" t="s">
        <v>9</v>
      </c>
      <c r="U3" s="117"/>
      <c r="V3" s="116" t="s">
        <v>10</v>
      </c>
      <c r="W3" s="117"/>
      <c r="X3" s="118" t="s">
        <v>11</v>
      </c>
      <c r="Y3" s="117"/>
      <c r="Z3" s="2" t="s">
        <v>12</v>
      </c>
    </row>
    <row r="4" spans="1:26" x14ac:dyDescent="0.25">
      <c r="B4" s="119" t="s">
        <v>13</v>
      </c>
      <c r="C4" s="112"/>
      <c r="D4" s="120" t="s">
        <v>14</v>
      </c>
      <c r="E4" s="112"/>
      <c r="F4" s="120" t="s">
        <v>141</v>
      </c>
      <c r="G4" s="112"/>
      <c r="H4" s="120" t="s">
        <v>140</v>
      </c>
      <c r="I4" s="112"/>
      <c r="J4" s="113" t="s">
        <v>15</v>
      </c>
      <c r="K4" s="112"/>
      <c r="L4" s="113" t="s">
        <v>16</v>
      </c>
      <c r="M4" s="112"/>
      <c r="N4" s="113" t="s">
        <v>17</v>
      </c>
      <c r="O4" s="112"/>
      <c r="P4" s="113" t="s">
        <v>18</v>
      </c>
      <c r="Q4" s="112"/>
      <c r="R4" s="113" t="s">
        <v>19</v>
      </c>
      <c r="S4" s="112"/>
      <c r="T4" s="114" t="s">
        <v>20</v>
      </c>
      <c r="U4" s="112"/>
      <c r="V4" s="115" t="s">
        <v>21</v>
      </c>
      <c r="W4" s="112"/>
      <c r="X4" s="111" t="s">
        <v>22</v>
      </c>
      <c r="Y4" s="112"/>
      <c r="Z4" s="4" t="s">
        <v>23</v>
      </c>
    </row>
    <row r="5" spans="1:26" x14ac:dyDescent="0.25">
      <c r="A5" s="101" t="s">
        <v>291</v>
      </c>
      <c r="B5">
        <f>ROUNDUP((COUNTA(Planning!B6:C22)/2),0)*3000</f>
        <v>9000</v>
      </c>
      <c r="D5">
        <f>ROUNDUP((COUNTA(Planning!D6:E22)/2),0)*3000</f>
        <v>15000</v>
      </c>
      <c r="F5">
        <f>ROUNDUP((COUNTA(Planning!F6:G22)/2),0)*3000</f>
        <v>21000</v>
      </c>
      <c r="H5">
        <f>ROUNDUP((COUNTA(Planning!H6:I22)/2),0)*3000</f>
        <v>21000</v>
      </c>
      <c r="J5">
        <f>ROUNDUP((COUNTA(Planning!J6:K22)/2),0)*3000</f>
        <v>27000</v>
      </c>
      <c r="L5">
        <f>ROUNDUP((COUNTA(Planning!L6:M22)/2),0)*3000</f>
        <v>27000</v>
      </c>
      <c r="N5">
        <f>ROUNDUP((COUNTA(Planning!N6:O22)/2),0)*3000</f>
        <v>30000</v>
      </c>
      <c r="P5">
        <f>ROUNDUP((COUNTA(Planning!P6:Q22)/2),0)*3000</f>
        <v>30000</v>
      </c>
      <c r="R5">
        <f>ROUNDUP((COUNTA(Planning!R6:S22)/2),0)*3000</f>
        <v>27000</v>
      </c>
      <c r="T5">
        <f>ROUNDUP((COUNTA(Planning!T6:U22)/2),0)*3000</f>
        <v>27000</v>
      </c>
      <c r="V5">
        <f>ROUNDUP((COUNTA(Planning!V6:W22)/2),0)*3000</f>
        <v>18000</v>
      </c>
      <c r="X5">
        <f>ROUNDUP((COUNTA(Planning!X6:Y22)/2),0)*3000</f>
        <v>18000</v>
      </c>
      <c r="Z5">
        <f>ROUNDUP((COUNTA(Planning!Z6:AA22)),0)*3000</f>
        <v>18000</v>
      </c>
    </row>
    <row r="6" spans="1:26" x14ac:dyDescent="0.25">
      <c r="A6" s="101" t="s">
        <v>293</v>
      </c>
      <c r="B6">
        <f>SUM(B5:C5)</f>
        <v>9000</v>
      </c>
      <c r="D6">
        <f>SUM(D5:I5)</f>
        <v>57000</v>
      </c>
      <c r="J6">
        <f>SUM(J5:S5)</f>
        <v>141000</v>
      </c>
      <c r="T6">
        <f>SUM(T5:U5)</f>
        <v>27000</v>
      </c>
      <c r="V6">
        <f>SUM(V5:W5)</f>
        <v>18000</v>
      </c>
      <c r="X6">
        <f>SUM(X5:Y5)</f>
        <v>18000</v>
      </c>
      <c r="Z6">
        <f>SUM(Z5)</f>
        <v>18000</v>
      </c>
    </row>
    <row r="7" spans="1:26" x14ac:dyDescent="0.25">
      <c r="A7" s="101" t="s">
        <v>294</v>
      </c>
      <c r="B7">
        <f>SUM(B6:Z6)</f>
        <v>288000</v>
      </c>
    </row>
  </sheetData>
  <mergeCells count="24">
    <mergeCell ref="L3:M3"/>
    <mergeCell ref="N3:O3"/>
    <mergeCell ref="H4:I4"/>
    <mergeCell ref="J4:K4"/>
    <mergeCell ref="B3:C3"/>
    <mergeCell ref="D3:E3"/>
    <mergeCell ref="F3:G3"/>
    <mergeCell ref="H3:I3"/>
    <mergeCell ref="X4:Y4"/>
    <mergeCell ref="B2:Z2"/>
    <mergeCell ref="L4:M4"/>
    <mergeCell ref="N4:O4"/>
    <mergeCell ref="P4:Q4"/>
    <mergeCell ref="R4:S4"/>
    <mergeCell ref="T4:U4"/>
    <mergeCell ref="V4:W4"/>
    <mergeCell ref="P3:Q3"/>
    <mergeCell ref="R3:S3"/>
    <mergeCell ref="T3:U3"/>
    <mergeCell ref="V3:W3"/>
    <mergeCell ref="X3:Y3"/>
    <mergeCell ref="B4:C4"/>
    <mergeCell ref="D4:E4"/>
    <mergeCell ref="F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273A-D8F8-4E7E-A117-1790D633A32D}">
  <dimension ref="A1:B28"/>
  <sheetViews>
    <sheetView workbookViewId="0">
      <selection activeCell="D14" sqref="D14"/>
    </sheetView>
  </sheetViews>
  <sheetFormatPr baseColWidth="10" defaultRowHeight="13.2" x14ac:dyDescent="0.25"/>
  <cols>
    <col min="1" max="1" width="22.6640625" bestFit="1" customWidth="1"/>
  </cols>
  <sheetData>
    <row r="1" spans="1:2" x14ac:dyDescent="0.25">
      <c r="A1" s="101" t="s">
        <v>295</v>
      </c>
      <c r="B1" s="106">
        <v>30</v>
      </c>
    </row>
    <row r="2" spans="1:2" x14ac:dyDescent="0.25">
      <c r="A2" s="101" t="s">
        <v>296</v>
      </c>
      <c r="B2" s="106">
        <v>20</v>
      </c>
    </row>
    <row r="3" spans="1:2" x14ac:dyDescent="0.25">
      <c r="A3" s="101" t="s">
        <v>297</v>
      </c>
      <c r="B3" s="107">
        <v>0.2</v>
      </c>
    </row>
    <row r="4" spans="1:2" x14ac:dyDescent="0.25">
      <c r="A4" s="101" t="s">
        <v>298</v>
      </c>
      <c r="B4" s="107">
        <v>0.3</v>
      </c>
    </row>
    <row r="6" spans="1:2" x14ac:dyDescent="0.25">
      <c r="A6" s="101" t="s">
        <v>303</v>
      </c>
    </row>
    <row r="7" spans="1:2" x14ac:dyDescent="0.25">
      <c r="A7" s="101" t="s">
        <v>304</v>
      </c>
      <c r="B7" s="110">
        <v>0.8</v>
      </c>
    </row>
    <row r="8" spans="1:2" x14ac:dyDescent="0.25">
      <c r="A8" s="101" t="s">
        <v>305</v>
      </c>
      <c r="B8" s="110">
        <v>0.2</v>
      </c>
    </row>
    <row r="9" spans="1:2" x14ac:dyDescent="0.25">
      <c r="A9" s="101" t="s">
        <v>299</v>
      </c>
      <c r="B9" s="106">
        <f>B$2-(B$2*B$4)</f>
        <v>14</v>
      </c>
    </row>
    <row r="10" spans="1:2" x14ac:dyDescent="0.25">
      <c r="A10" s="101" t="s">
        <v>300</v>
      </c>
      <c r="B10" s="108">
        <f>B$9-(B$9*B$3)</f>
        <v>11.2</v>
      </c>
    </row>
    <row r="11" spans="1:2" x14ac:dyDescent="0.25">
      <c r="A11" s="101" t="s">
        <v>302</v>
      </c>
      <c r="B11" s="108">
        <f>B10*B8</f>
        <v>2.2399999999999998</v>
      </c>
    </row>
    <row r="12" spans="1:2" x14ac:dyDescent="0.25">
      <c r="A12" s="101" t="s">
        <v>301</v>
      </c>
      <c r="B12" s="109">
        <f>Presupuesto!B$7/'Break-even'!B11</f>
        <v>128571.42857142858</v>
      </c>
    </row>
    <row r="14" spans="1:2" x14ac:dyDescent="0.25">
      <c r="A14" s="101" t="s">
        <v>306</v>
      </c>
    </row>
    <row r="15" spans="1:2" x14ac:dyDescent="0.25">
      <c r="A15" s="101" t="s">
        <v>304</v>
      </c>
      <c r="B15" s="110">
        <v>0.6</v>
      </c>
    </row>
    <row r="16" spans="1:2" x14ac:dyDescent="0.25">
      <c r="A16" s="101" t="s">
        <v>305</v>
      </c>
      <c r="B16" s="110">
        <v>0.4</v>
      </c>
    </row>
    <row r="17" spans="1:2" x14ac:dyDescent="0.25">
      <c r="A17" s="101" t="s">
        <v>299</v>
      </c>
      <c r="B17" s="106">
        <f>B$2-(B$2*B$4)</f>
        <v>14</v>
      </c>
    </row>
    <row r="18" spans="1:2" x14ac:dyDescent="0.25">
      <c r="A18" s="101" t="s">
        <v>300</v>
      </c>
      <c r="B18" s="108">
        <f>B$9-(B$9*B$3)</f>
        <v>11.2</v>
      </c>
    </row>
    <row r="19" spans="1:2" x14ac:dyDescent="0.25">
      <c r="A19" s="101" t="s">
        <v>302</v>
      </c>
      <c r="B19" s="108">
        <f>B18*B16</f>
        <v>4.4799999999999995</v>
      </c>
    </row>
    <row r="20" spans="1:2" x14ac:dyDescent="0.25">
      <c r="A20" s="101" t="s">
        <v>301</v>
      </c>
      <c r="B20" s="109">
        <f>Presupuesto!B$7/'Break-even'!B19</f>
        <v>64285.71428571429</v>
      </c>
    </row>
    <row r="22" spans="1:2" x14ac:dyDescent="0.25">
      <c r="A22" s="101" t="s">
        <v>307</v>
      </c>
    </row>
    <row r="23" spans="1:2" x14ac:dyDescent="0.25">
      <c r="A23" s="101" t="s">
        <v>304</v>
      </c>
      <c r="B23" s="110">
        <v>0.5</v>
      </c>
    </row>
    <row r="24" spans="1:2" x14ac:dyDescent="0.25">
      <c r="A24" s="101" t="s">
        <v>305</v>
      </c>
      <c r="B24" s="110">
        <v>0.5</v>
      </c>
    </row>
    <row r="25" spans="1:2" x14ac:dyDescent="0.25">
      <c r="A25" s="101" t="s">
        <v>299</v>
      </c>
      <c r="B25" s="106">
        <f>B$2-(B$2*B$4)</f>
        <v>14</v>
      </c>
    </row>
    <row r="26" spans="1:2" x14ac:dyDescent="0.25">
      <c r="A26" s="101" t="s">
        <v>300</v>
      </c>
      <c r="B26" s="108">
        <f>B$9-(B$9*B$3)</f>
        <v>11.2</v>
      </c>
    </row>
    <row r="27" spans="1:2" x14ac:dyDescent="0.25">
      <c r="A27" s="101" t="s">
        <v>302</v>
      </c>
      <c r="B27" s="108">
        <f>B26*B24</f>
        <v>5.6</v>
      </c>
    </row>
    <row r="28" spans="1:2" x14ac:dyDescent="0.25">
      <c r="A28" s="101" t="s">
        <v>301</v>
      </c>
      <c r="B28" s="109">
        <f>Presupuesto!B$7/'Break-even'!B27</f>
        <v>51428.571428571435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Planning</vt:lpstr>
      <vt:lpstr>Dados Virtuales</vt:lpstr>
      <vt:lpstr>Dependencias</vt:lpstr>
      <vt:lpstr>Disclaimer</vt:lpstr>
      <vt:lpstr>Presupuesto</vt:lpstr>
      <vt:lpstr>Break-even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Raluy Quesada</dc:creator>
  <cp:lastModifiedBy>Endika Fernández Olabarrieta</cp:lastModifiedBy>
  <dcterms:created xsi:type="dcterms:W3CDTF">2020-12-22T14:24:57Z</dcterms:created>
  <dcterms:modified xsi:type="dcterms:W3CDTF">2026-04-08T10:13:43Z</dcterms:modified>
</cp:coreProperties>
</file>