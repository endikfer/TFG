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Users\Endika\Documents\GitHub\TFG\Memoria\"/>
    </mc:Choice>
  </mc:AlternateContent>
  <xr:revisionPtr revIDLastSave="0" documentId="13_ncr:1_{21F5FC0E-10D2-43AF-92D9-B8C70847253A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Hoja Ruta" sheetId="1" r:id="rId1"/>
    <sheet name="Presupuesto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3" i="1" l="1"/>
  <c r="V12" i="1"/>
  <c r="V10" i="1"/>
  <c r="V9" i="1"/>
  <c r="V7" i="1"/>
  <c r="V6" i="1"/>
  <c r="V4" i="1"/>
  <c r="V15" i="1" l="1"/>
  <c r="V16" i="1" s="1"/>
</calcChain>
</file>

<file path=xl/sharedStrings.xml><?xml version="1.0" encoding="utf-8"?>
<sst xmlns="http://schemas.openxmlformats.org/spreadsheetml/2006/main" count="169" uniqueCount="89">
  <si>
    <t>Concept</t>
  </si>
  <si>
    <t>Prepro</t>
  </si>
  <si>
    <t>Produccion</t>
  </si>
  <si>
    <t>Alpha</t>
  </si>
  <si>
    <t>External  QA</t>
  </si>
  <si>
    <t>STREET DATE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</si>
  <si>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</si>
  <si>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</si>
  <si>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</si>
  <si>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</si>
  <si>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</si>
  <si>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</si>
  <si>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</si>
  <si>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</si>
  <si>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</si>
  <si>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</si>
  <si>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</si>
  <si>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</si>
  <si>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</si>
  <si>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W14</t>
  </si>
  <si>
    <t>W15</t>
  </si>
  <si>
    <t>W16</t>
  </si>
  <si>
    <t>W17</t>
  </si>
  <si>
    <t>W18</t>
  </si>
  <si>
    <t>W19</t>
  </si>
  <si>
    <t>W20</t>
  </si>
  <si>
    <t>DISEÑO</t>
  </si>
  <si>
    <t>Lead Diseño</t>
  </si>
  <si>
    <t>GDD draft</t>
  </si>
  <si>
    <t>&lt;--</t>
  </si>
  <si>
    <t>Gdd Final</t>
  </si>
  <si>
    <t>Playtesting</t>
  </si>
  <si>
    <t>polish</t>
  </si>
  <si>
    <t>Bug Fixing</t>
  </si>
  <si>
    <t>support</t>
  </si>
  <si>
    <t>ARTE</t>
  </si>
  <si>
    <t>Artista 1</t>
  </si>
  <si>
    <t>Concepts</t>
  </si>
  <si>
    <t>PROGR.</t>
  </si>
  <si>
    <t>Progr1</t>
  </si>
  <si>
    <t>Scorer</t>
  </si>
  <si>
    <t>Camara</t>
  </si>
  <si>
    <t>Progr2</t>
  </si>
  <si>
    <t xml:space="preserve">Logica Juego </t>
  </si>
  <si>
    <t>OTROS</t>
  </si>
  <si>
    <t>Sonido</t>
  </si>
  <si>
    <t>TOTAL MW</t>
  </si>
  <si>
    <t>TOTAL MM</t>
  </si>
  <si>
    <t>Curva izq</t>
  </si>
  <si>
    <t>Curva dere</t>
  </si>
  <si>
    <t>Artista 2</t>
  </si>
  <si>
    <t>Pieza Recta</t>
  </si>
  <si>
    <t>Pieza inicio/meta</t>
  </si>
  <si>
    <t>Modelo coche</t>
  </si>
  <si>
    <t>Props decorativos</t>
  </si>
  <si>
    <t>Materiales circuito</t>
  </si>
  <si>
    <t>Textura coche</t>
  </si>
  <si>
    <t>Efectos visuales</t>
  </si>
  <si>
    <t>UI Paneles + HUD</t>
  </si>
  <si>
    <t>Revision visual</t>
  </si>
  <si>
    <t>Generador procedural</t>
  </si>
  <si>
    <t>Cierre circuito + JSON</t>
  </si>
  <si>
    <t>Checkpoints + RaceManager</t>
  </si>
  <si>
    <t>Física vehículo</t>
  </si>
  <si>
    <t>Menu opcion</t>
  </si>
  <si>
    <t>Agente ML-Agents</t>
  </si>
  <si>
    <t>Función de recompensa</t>
  </si>
  <si>
    <t>Entrenamientos</t>
  </si>
  <si>
    <t>Modos de juego</t>
  </si>
  <si>
    <t>Musica menu</t>
  </si>
  <si>
    <t>Efecto motor</t>
  </si>
  <si>
    <t>Diseño generador</t>
  </si>
  <si>
    <t>Diseño func. recompensa</t>
  </si>
  <si>
    <t>Diseño checkpoints</t>
  </si>
  <si>
    <t>Iter. parámetros</t>
  </si>
  <si>
    <t>Iter. recompensas</t>
  </si>
  <si>
    <t>Efecto final</t>
  </si>
  <si>
    <t>Diseño modos de juego</t>
  </si>
  <si>
    <t>Semanas-hombre activas</t>
  </si>
  <si>
    <t>TOTAL POR MES</t>
  </si>
  <si>
    <t>-</t>
  </si>
  <si>
    <t>TOTAL
TRABAJADOR</t>
  </si>
  <si>
    <t>Mes 5
(W17-W20)</t>
  </si>
  <si>
    <t>Mes 4
(W13-W16)</t>
  </si>
  <si>
    <t>Mes 3
(W9-W12)</t>
  </si>
  <si>
    <t>Mes 2
(W5-W8)</t>
  </si>
  <si>
    <t>Mes 1
(W1-W4)</t>
  </si>
  <si>
    <t>Rol / Trabajador</t>
  </si>
  <si>
    <t>Presupuesto a 4.000 €/mes por trabajador (1.000 €/semana). Meses parciales calculados por semanas trabajadas.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</si>
</sst>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&quot; €&quot;"/>
  </numFmts>
  <fonts count="15" x14ac:knownFonts="1">
    <font>
      <sz val="11"/>
      <color theme="1"/>
      <name val="Calibri"/>
      <scheme val="minor"/>
    </font>
    <font>
      <sz val="11"/>
      <color theme="1"/>
      <name val="Calibri"/>
    </font>
    <font>
      <sz val="11"/>
      <name val="Calibri"/>
    </font>
    <font>
      <sz val="11"/>
      <color theme="1"/>
      <name val="Calibri"/>
    </font>
    <font>
      <b/>
      <sz val="11"/>
      <color theme="1"/>
      <name val="Calibri"/>
    </font>
    <font>
      <sz val="11"/>
      <color rgb="FFFF33CC"/>
      <name val="Calibri"/>
    </font>
    <font>
      <b/>
      <sz val="11"/>
      <color rgb="FFFF33CC"/>
      <name val="Calibri"/>
    </font>
    <font>
      <sz val="10"/>
      <color rgb="FF000000"/>
      <name val="Arial"/>
    </font>
    <font>
      <sz val="8"/>
      <name val="Calibri"/>
      <scheme val="minor"/>
    </font>
    <font>
      <sz val="11"/>
      <color theme="1"/>
      <name val="Calibri"/>
      <charset val="1"/>
    </font>
    <font>
      <sz val="10"/>
      <color rgb="FF000000"/>
      <name val="Arial"/>
      <charset val="1"/>
    </font>
    <font>
      <b/>
      <sz val="11"/>
      <name val="Cambria"/>
      <charset val="1"/>
    </font>
    <font>
      <sz val="11"/>
      <name val="Cambria"/>
      <charset val="1"/>
    </font>
    <font>
      <b/>
      <sz val="11"/>
      <color rgb="FFFFFFFF"/>
      <name val="Cambria"/>
      <charset val="1"/>
    </font>
    <font>
      <i/>
      <sz val="9"/>
      <name val="Cambria"/>
      <charset val="1"/>
    </font>
  </fonts>
  <fills count="26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7"/>
        <bgColor theme="7"/>
      </patternFill>
    </fill>
    <fill>
      <patternFill patternType="solid">
        <fgColor rgb="FFDEEAF6"/>
        <bgColor rgb="FFDEEAF6"/>
      </patternFill>
    </fill>
    <fill>
      <patternFill patternType="solid">
        <fgColor rgb="FF8EAADB"/>
        <bgColor rgb="FF8EAADB"/>
      </patternFill>
    </fill>
    <fill>
      <patternFill patternType="solid">
        <fgColor rgb="FFBDD6EE"/>
        <bgColor rgb="FFBDD6EE"/>
      </patternFill>
    </fill>
    <fill>
      <patternFill patternType="solid">
        <fgColor rgb="FFFFFF00"/>
        <bgColor rgb="FFFFFF00"/>
      </patternFill>
    </fill>
    <fill>
      <patternFill patternType="solid">
        <fgColor rgb="FFA5A5A5"/>
        <bgColor rgb="FFA5A5A5"/>
      </patternFill>
    </fill>
    <fill>
      <patternFill patternType="solid">
        <fgColor rgb="FFC5E0B3"/>
        <bgColor rgb="FFC5E0B3"/>
      </patternFill>
    </fill>
    <fill>
      <patternFill patternType="solid">
        <fgColor theme="9"/>
        <bgColor theme="9"/>
      </patternFill>
    </fill>
    <fill>
      <patternFill patternType="solid">
        <fgColor theme="1"/>
        <bgColor theme="1"/>
      </patternFill>
    </fill>
    <fill>
      <patternFill patternType="solid">
        <fgColor rgb="FFBF9000"/>
        <bgColor rgb="FFBF9000"/>
      </patternFill>
    </fill>
    <fill>
      <patternFill patternType="solid">
        <fgColor theme="4" tint="0.59999389629810485"/>
        <bgColor theme="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DEDED"/>
        <bgColor rgb="FFE2EFDA"/>
      </patternFill>
    </fill>
    <fill>
      <patternFill patternType="solid">
        <fgColor theme="7"/>
        <bgColor rgb="FFFFFF00"/>
      </patternFill>
    </fill>
    <fill>
      <patternFill patternType="solid">
        <fgColor rgb="FFFEF2CB"/>
        <bgColor rgb="FFFCE4D6"/>
      </patternFill>
    </fill>
    <fill>
      <patternFill patternType="solid">
        <fgColor rgb="FFDEEAF6"/>
        <bgColor rgb="FFEDEDED"/>
      </patternFill>
    </fill>
    <fill>
      <patternFill patternType="solid">
        <fgColor rgb="FFFCE4D6"/>
        <bgColor rgb="FFFEF2CB"/>
      </patternFill>
    </fill>
    <fill>
      <patternFill patternType="solid">
        <fgColor rgb="FFBDD6EE"/>
        <bgColor rgb="FFBDD7EE"/>
      </patternFill>
    </fill>
    <fill>
      <patternFill patternType="solid">
        <fgColor rgb="FFC5E0B3"/>
        <bgColor rgb="FFBDD7EE"/>
      </patternFill>
    </fill>
    <fill>
      <patternFill patternType="solid">
        <fgColor rgb="FFE2EFDA"/>
        <bgColor rgb="FFEDEDED"/>
      </patternFill>
    </fill>
    <fill>
      <patternFill patternType="solid">
        <fgColor rgb="FF4472C4"/>
        <bgColor rgb="FF666699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7" fillId="0" borderId="3"/>
    <xf numFmtId="0" fontId="9" fillId="0" borderId="3"/>
    <xf numFmtId="0" fontId="10" fillId="0" borderId="3"/>
  </cellStyleXfs>
  <cellXfs count="65">
    <xf numFmtId="0" fontId="0" fillId="0" borderId="0" xfId="0"/>
    <xf numFmtId="0" fontId="1" fillId="7" borderId="3" xfId="0" applyFont="1" applyFill="1" applyBorder="1"/>
    <xf numFmtId="0" fontId="3" fillId="0" borderId="0" xfId="0" applyFont="1"/>
    <xf numFmtId="0" fontId="1" fillId="0" borderId="4" xfId="0" applyFont="1" applyBorder="1"/>
    <xf numFmtId="0" fontId="1" fillId="7" borderId="5" xfId="0" applyFont="1" applyFill="1" applyBorder="1"/>
    <xf numFmtId="0" fontId="4" fillId="8" borderId="3" xfId="0" applyFont="1" applyFill="1" applyBorder="1"/>
    <xf numFmtId="0" fontId="1" fillId="8" borderId="3" xfId="0" applyFont="1" applyFill="1" applyBorder="1"/>
    <xf numFmtId="0" fontId="1" fillId="8" borderId="5" xfId="0" applyFont="1" applyFill="1" applyBorder="1"/>
    <xf numFmtId="0" fontId="4" fillId="0" borderId="0" xfId="0" applyFont="1"/>
    <xf numFmtId="0" fontId="4" fillId="9" borderId="3" xfId="0" applyFont="1" applyFill="1" applyBorder="1"/>
    <xf numFmtId="0" fontId="1" fillId="11" borderId="3" xfId="0" applyFont="1" applyFill="1" applyBorder="1"/>
    <xf numFmtId="0" fontId="1" fillId="11" borderId="5" xfId="0" applyFont="1" applyFill="1" applyBorder="1"/>
    <xf numFmtId="0" fontId="5" fillId="8" borderId="3" xfId="0" applyFont="1" applyFill="1" applyBorder="1"/>
    <xf numFmtId="0" fontId="5" fillId="8" borderId="5" xfId="0" applyFont="1" applyFill="1" applyBorder="1"/>
    <xf numFmtId="0" fontId="4" fillId="6" borderId="3" xfId="0" applyFont="1" applyFill="1" applyBorder="1"/>
    <xf numFmtId="0" fontId="4" fillId="12" borderId="3" xfId="0" applyFont="1" applyFill="1" applyBorder="1"/>
    <xf numFmtId="0" fontId="6" fillId="0" borderId="6" xfId="0" applyFont="1" applyBorder="1"/>
    <xf numFmtId="0" fontId="6" fillId="0" borderId="7" xfId="0" applyFont="1" applyBorder="1"/>
    <xf numFmtId="0" fontId="6" fillId="0" borderId="8" xfId="0" applyFont="1" applyBorder="1"/>
    <xf numFmtId="0" fontId="6" fillId="0" borderId="9" xfId="0" applyFont="1" applyBorder="1"/>
    <xf numFmtId="0" fontId="1" fillId="0" borderId="0" xfId="0" applyFont="1"/>
    <xf numFmtId="0" fontId="1" fillId="10" borderId="3" xfId="0" applyFont="1" applyFill="1" applyBorder="1"/>
    <xf numFmtId="0" fontId="1" fillId="13" borderId="3" xfId="0" applyFont="1" applyFill="1" applyBorder="1"/>
    <xf numFmtId="0" fontId="0" fillId="14" borderId="0" xfId="0" applyFill="1"/>
    <xf numFmtId="0" fontId="1" fillId="0" borderId="3" xfId="0" applyFont="1" applyBorder="1"/>
    <xf numFmtId="0" fontId="0" fillId="15" borderId="0" xfId="0" applyFill="1"/>
    <xf numFmtId="0" fontId="3" fillId="16" borderId="0" xfId="0" applyFont="1" applyFill="1"/>
    <xf numFmtId="0" fontId="1" fillId="4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1" fillId="3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0" fillId="0" borderId="3" xfId="3"/>
    <xf numFmtId="0" fontId="11" fillId="17" borderId="10" xfId="2" applyFont="1" applyFill="1" applyBorder="1" applyAlignment="1">
      <alignment horizontal="center" vertical="center" wrapText="1"/>
    </xf>
    <xf numFmtId="0" fontId="12" fillId="17" borderId="10" xfId="2" applyFont="1" applyFill="1" applyBorder="1" applyAlignment="1">
      <alignment horizontal="center" vertical="center" wrapText="1"/>
    </xf>
    <xf numFmtId="0" fontId="12" fillId="17" borderId="10" xfId="2" applyFont="1" applyFill="1" applyBorder="1" applyAlignment="1">
      <alignment horizontal="left" vertical="center" wrapText="1"/>
    </xf>
    <xf numFmtId="164" fontId="11" fillId="18" borderId="10" xfId="2" applyNumberFormat="1" applyFont="1" applyFill="1" applyBorder="1" applyAlignment="1">
      <alignment horizontal="center" vertical="center" wrapText="1"/>
    </xf>
    <xf numFmtId="164" fontId="11" fillId="19" borderId="10" xfId="2" applyNumberFormat="1" applyFont="1" applyFill="1" applyBorder="1" applyAlignment="1">
      <alignment horizontal="center" vertical="center" wrapText="1"/>
    </xf>
    <xf numFmtId="0" fontId="11" fillId="19" borderId="10" xfId="2" applyFont="1" applyFill="1" applyBorder="1" applyAlignment="1">
      <alignment horizontal="left" vertical="center" wrapText="1"/>
    </xf>
    <xf numFmtId="164" fontId="11" fillId="20" borderId="10" xfId="2" applyNumberFormat="1" applyFont="1" applyFill="1" applyBorder="1" applyAlignment="1">
      <alignment horizontal="center" vertical="center" wrapText="1"/>
    </xf>
    <xf numFmtId="164" fontId="12" fillId="20" borderId="10" xfId="2" applyNumberFormat="1" applyFont="1" applyFill="1" applyBorder="1" applyAlignment="1">
      <alignment horizontal="center" vertical="center" wrapText="1"/>
    </xf>
    <xf numFmtId="0" fontId="11" fillId="20" borderId="10" xfId="2" applyFont="1" applyFill="1" applyBorder="1" applyAlignment="1">
      <alignment horizontal="left" vertical="center" wrapText="1"/>
    </xf>
    <xf numFmtId="164" fontId="12" fillId="21" borderId="10" xfId="2" applyNumberFormat="1" applyFont="1" applyFill="1" applyBorder="1" applyAlignment="1">
      <alignment horizontal="center" vertical="center" wrapText="1"/>
    </xf>
    <xf numFmtId="0" fontId="12" fillId="21" borderId="10" xfId="2" applyFont="1" applyFill="1" applyBorder="1" applyAlignment="1">
      <alignment horizontal="center" vertical="center" wrapText="1"/>
    </xf>
    <xf numFmtId="0" fontId="11" fillId="21" borderId="10" xfId="2" applyFont="1" applyFill="1" applyBorder="1" applyAlignment="1">
      <alignment horizontal="left" vertical="center" wrapText="1"/>
    </xf>
    <xf numFmtId="0" fontId="12" fillId="0" borderId="3" xfId="2" applyFont="1"/>
    <xf numFmtId="164" fontId="12" fillId="22" borderId="10" xfId="2" applyNumberFormat="1" applyFont="1" applyFill="1" applyBorder="1" applyAlignment="1">
      <alignment horizontal="center" vertical="center" wrapText="1"/>
    </xf>
    <xf numFmtId="0" fontId="12" fillId="22" borderId="10" xfId="3" applyFont="1" applyFill="1" applyBorder="1" applyAlignment="1">
      <alignment horizontal="center" vertical="center" wrapText="1"/>
    </xf>
    <xf numFmtId="0" fontId="11" fillId="22" borderId="10" xfId="3" applyFont="1" applyFill="1" applyBorder="1" applyAlignment="1">
      <alignment horizontal="left" vertical="center" wrapText="1"/>
    </xf>
    <xf numFmtId="0" fontId="12" fillId="0" borderId="3" xfId="3" applyFont="1"/>
    <xf numFmtId="164" fontId="12" fillId="22" borderId="10" xfId="3" applyNumberFormat="1" applyFont="1" applyFill="1" applyBorder="1" applyAlignment="1">
      <alignment horizontal="center" vertical="center" wrapText="1"/>
    </xf>
    <xf numFmtId="164" fontId="12" fillId="23" borderId="10" xfId="3" applyNumberFormat="1" applyFont="1" applyFill="1" applyBorder="1" applyAlignment="1">
      <alignment horizontal="center" vertical="center" wrapText="1"/>
    </xf>
    <xf numFmtId="164" fontId="12" fillId="23" borderId="10" xfId="2" applyNumberFormat="1" applyFont="1" applyFill="1" applyBorder="1" applyAlignment="1">
      <alignment horizontal="center" vertical="center" wrapText="1"/>
    </xf>
    <xf numFmtId="0" fontId="12" fillId="23" borderId="10" xfId="2" applyFont="1" applyFill="1" applyBorder="1" applyAlignment="1">
      <alignment horizontal="center" vertical="center" wrapText="1"/>
    </xf>
    <xf numFmtId="0" fontId="12" fillId="23" borderId="10" xfId="3" applyFont="1" applyFill="1" applyBorder="1" applyAlignment="1">
      <alignment horizontal="center" vertical="center" wrapText="1"/>
    </xf>
    <xf numFmtId="0" fontId="11" fillId="23" borderId="10" xfId="3" applyFont="1" applyFill="1" applyBorder="1" applyAlignment="1">
      <alignment horizontal="left" vertical="center" wrapText="1"/>
    </xf>
    <xf numFmtId="0" fontId="12" fillId="0" borderId="3" xfId="3" applyFont="1" applyAlignment="1">
      <alignment horizontal="center"/>
    </xf>
    <xf numFmtId="0" fontId="11" fillId="23" borderId="10" xfId="2" applyFont="1" applyFill="1" applyBorder="1" applyAlignment="1">
      <alignment horizontal="left" vertical="center" wrapText="1"/>
    </xf>
    <xf numFmtId="164" fontId="12" fillId="24" borderId="10" xfId="3" applyNumberFormat="1" applyFont="1" applyFill="1" applyBorder="1" applyAlignment="1">
      <alignment horizontal="center" vertical="center" wrapText="1"/>
    </xf>
    <xf numFmtId="164" fontId="12" fillId="24" borderId="10" xfId="2" applyNumberFormat="1" applyFont="1" applyFill="1" applyBorder="1" applyAlignment="1">
      <alignment horizontal="center" vertical="center" wrapText="1"/>
    </xf>
    <xf numFmtId="0" fontId="11" fillId="24" borderId="10" xfId="2" applyFont="1" applyFill="1" applyBorder="1" applyAlignment="1">
      <alignment horizontal="left" vertical="center" wrapText="1"/>
    </xf>
    <xf numFmtId="0" fontId="13" fillId="25" borderId="10" xfId="2" applyFont="1" applyFill="1" applyBorder="1" applyAlignment="1">
      <alignment horizontal="center" vertical="center" wrapText="1"/>
    </xf>
    <xf numFmtId="0" fontId="13" fillId="25" borderId="10" xfId="3" applyFont="1" applyFill="1" applyBorder="1" applyAlignment="1">
      <alignment horizontal="center" vertical="center" wrapText="1"/>
    </xf>
    <xf numFmtId="0" fontId="13" fillId="25" borderId="10" xfId="3" applyFont="1" applyFill="1" applyBorder="1" applyAlignment="1">
      <alignment horizontal="left" vertical="center" wrapText="1"/>
    </xf>
    <xf numFmtId="0" fontId="14" fillId="0" borderId="3" xfId="3" applyFont="1" applyAlignment="1">
      <alignment horizontal="left" vertical="center"/>
    </xf>
  </cellXfs>
  <cellStyles count="4">
    <cellStyle name="Normal" xfId="0" builtinId="0"/>
    <cellStyle name="Normal 2" xfId="1" xr:uid="{0598D131-C5CF-4F63-ACB0-0B6472DC91FA}"/>
    <cellStyle name="Normal 2 2" xfId="3" xr:uid="{06C5529F-45A8-41EE-96C2-7F96885F5BC3}"/>
    <cellStyle name="Normal 3" xfId="2" xr:uid="{EDDD9E7E-287C-44C8-9F52-3E634FDE5C4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92"/>
  <sheetViews>
    <sheetView workbookViewId="0">
      <pane xSplit="1" ySplit="2" topLeftCell="B3" activePane="bottomRight" state="frozen"/>
      <selection pane="topRight" activeCell="B1" sqref="B1"/>
      <selection pane="bottomLeft" activeCell="A4" sqref="A4"/>
      <selection pane="bottomRight" activeCell="V24" sqref="V24"/>
    </sheetView>
  </sheetViews>
  <sheetFormatPr baseColWidth="10" defaultColWidth="14.42578125" defaultRowHeight="15" customHeight="1" x14ac:dyDescent="0.25"/>
  <cols>
    <col min="1" max="1" width="16.85546875" customWidth="1"/>
    <col min="2" max="13" width="10.7109375" customWidth="1"/>
    <col min="14" max="14" width="12.85546875" customWidth="1"/>
    <col min="15" max="15" width="13.140625" customWidth="1"/>
    <col min="16" max="21" width="10.7109375" customWidth="1"/>
    <col min="22" max="22" width="11.42578125" customWidth="1"/>
    <col min="23" max="23" width="6.7109375" customWidth="1"/>
  </cols>
  <sheetData>
    <row r="1" spans="1:22" ht="14.25" customHeight="1" x14ac:dyDescent="0.25">
      <c r="B1" s="28" t="s">
        <v>0</v>
      </c>
      <c r="C1" s="29"/>
      <c r="D1" s="30" t="s">
        <v>1</v>
      </c>
      <c r="E1" s="29"/>
      <c r="F1" s="29"/>
      <c r="G1" s="29"/>
      <c r="H1" s="28" t="s">
        <v>2</v>
      </c>
      <c r="I1" s="28"/>
      <c r="J1" s="28"/>
      <c r="K1" s="28"/>
      <c r="L1" s="28"/>
      <c r="M1" s="28"/>
      <c r="N1" s="28"/>
      <c r="O1" s="28"/>
      <c r="P1" s="28"/>
      <c r="Q1" s="28"/>
      <c r="R1" s="27" t="s">
        <v>3</v>
      </c>
      <c r="S1" s="27"/>
      <c r="T1" s="31" t="s">
        <v>4</v>
      </c>
      <c r="U1" s="29"/>
      <c r="V1" s="1" t="s">
        <v>5</v>
      </c>
    </row>
    <row r="2" spans="1:22" ht="14.25" customHeight="1" x14ac:dyDescent="0.25">
      <c r="B2" s="2" t="s">
        <v>6</v>
      </c>
      <c r="C2" s="2" t="s">
        <v>7</v>
      </c>
      <c r="D2" s="3" t="s">
        <v>8</v>
      </c>
      <c r="E2" s="2" t="s">
        <v>9</v>
      </c>
      <c r="F2" s="2" t="s">
        <v>10</v>
      </c>
      <c r="G2" s="2" t="s">
        <v>11</v>
      </c>
      <c r="H2" s="3" t="s">
        <v>12</v>
      </c>
      <c r="I2" s="2" t="s">
        <v>13</v>
      </c>
      <c r="J2" s="2" t="s">
        <v>14</v>
      </c>
      <c r="K2" s="2" t="s">
        <v>15</v>
      </c>
      <c r="L2" s="2" t="s">
        <v>16</v>
      </c>
      <c r="M2" s="2" t="s">
        <v>17</v>
      </c>
      <c r="N2" s="2" t="s">
        <v>18</v>
      </c>
      <c r="O2" s="2" t="s">
        <v>19</v>
      </c>
      <c r="P2" s="2" t="s">
        <v>20</v>
      </c>
      <c r="Q2" s="2" t="s">
        <v>21</v>
      </c>
      <c r="R2" s="2" t="s">
        <v>22</v>
      </c>
      <c r="S2" s="2" t="s">
        <v>23</v>
      </c>
      <c r="T2" s="2" t="s">
        <v>24</v>
      </c>
      <c r="U2" s="2" t="s">
        <v>25</v>
      </c>
      <c r="V2" s="4"/>
    </row>
    <row r="3" spans="1:22" ht="14.25" customHeight="1" x14ac:dyDescent="0.25">
      <c r="A3" s="5" t="s">
        <v>26</v>
      </c>
      <c r="B3" s="6"/>
      <c r="C3" s="6"/>
      <c r="D3" s="7"/>
      <c r="E3" s="6"/>
      <c r="F3" s="6"/>
      <c r="G3" s="6"/>
      <c r="H3" s="7"/>
      <c r="I3" s="6"/>
      <c r="J3" s="6"/>
      <c r="K3" s="6"/>
      <c r="L3" s="6"/>
      <c r="M3" s="6"/>
      <c r="N3" s="6"/>
      <c r="O3" s="6"/>
      <c r="P3" s="6"/>
      <c r="Q3" s="6"/>
      <c r="R3" s="7"/>
      <c r="S3" s="6"/>
      <c r="T3" s="7"/>
      <c r="U3" s="6"/>
      <c r="V3" s="6"/>
    </row>
    <row r="4" spans="1:22" ht="14.25" customHeight="1" x14ac:dyDescent="0.25">
      <c r="A4" s="8" t="s">
        <v>27</v>
      </c>
      <c r="B4" s="2" t="s">
        <v>28</v>
      </c>
      <c r="C4" s="2" t="s">
        <v>29</v>
      </c>
      <c r="D4" s="3" t="s">
        <v>30</v>
      </c>
      <c r="E4" s="20" t="s">
        <v>77</v>
      </c>
      <c r="F4" t="s">
        <v>71</v>
      </c>
      <c r="G4" t="s">
        <v>29</v>
      </c>
      <c r="H4" t="s">
        <v>72</v>
      </c>
      <c r="I4" t="s">
        <v>29</v>
      </c>
      <c r="J4" t="s">
        <v>73</v>
      </c>
      <c r="K4" t="s">
        <v>29</v>
      </c>
      <c r="L4" t="s">
        <v>74</v>
      </c>
      <c r="M4" t="s">
        <v>29</v>
      </c>
      <c r="N4" t="s">
        <v>75</v>
      </c>
      <c r="O4" t="s">
        <v>29</v>
      </c>
      <c r="P4" t="s">
        <v>31</v>
      </c>
      <c r="Q4" t="s">
        <v>29</v>
      </c>
      <c r="R4" s="3" t="s">
        <v>32</v>
      </c>
      <c r="S4" s="2" t="s">
        <v>33</v>
      </c>
      <c r="T4" s="3" t="s">
        <v>34</v>
      </c>
      <c r="U4" s="2" t="s">
        <v>29</v>
      </c>
      <c r="V4" s="26">
        <f>COUNTIF(B4:U4,"*")</f>
        <v>20</v>
      </c>
    </row>
    <row r="5" spans="1:22" ht="14.25" customHeight="1" x14ac:dyDescent="0.25">
      <c r="A5" s="5" t="s">
        <v>35</v>
      </c>
      <c r="B5" s="6"/>
      <c r="C5" s="6"/>
      <c r="D5" s="7"/>
      <c r="E5" s="6"/>
      <c r="F5" s="6"/>
      <c r="G5" s="6"/>
      <c r="H5" s="7"/>
      <c r="I5" s="6"/>
      <c r="J5" s="6"/>
      <c r="K5" s="6"/>
      <c r="L5" s="6"/>
      <c r="M5" s="6"/>
      <c r="N5" s="6"/>
      <c r="O5" s="6"/>
      <c r="P5" s="6"/>
      <c r="Q5" s="6"/>
      <c r="R5" s="7"/>
      <c r="S5" s="6"/>
      <c r="T5" s="7"/>
      <c r="U5" s="6"/>
      <c r="V5" s="6"/>
    </row>
    <row r="6" spans="1:22" ht="14.25" customHeight="1" x14ac:dyDescent="0.25">
      <c r="A6" s="9" t="s">
        <v>36</v>
      </c>
      <c r="B6" s="2" t="s">
        <v>37</v>
      </c>
      <c r="C6" s="2" t="s">
        <v>37</v>
      </c>
      <c r="D6" s="3" t="s">
        <v>37</v>
      </c>
      <c r="E6" s="21" t="s">
        <v>51</v>
      </c>
      <c r="F6" s="21" t="s">
        <v>29</v>
      </c>
      <c r="G6" s="21" t="s">
        <v>48</v>
      </c>
      <c r="H6" s="21" t="s">
        <v>49</v>
      </c>
      <c r="I6" s="21" t="s">
        <v>52</v>
      </c>
      <c r="J6" s="21" t="s">
        <v>29</v>
      </c>
      <c r="K6" s="21" t="s">
        <v>55</v>
      </c>
      <c r="L6" s="21" t="s">
        <v>29</v>
      </c>
      <c r="M6" s="21" t="s">
        <v>54</v>
      </c>
      <c r="N6" s="21" t="s">
        <v>29</v>
      </c>
      <c r="O6" s="21" t="s">
        <v>29</v>
      </c>
      <c r="P6" s="21" t="s">
        <v>57</v>
      </c>
      <c r="Q6" s="21" t="s">
        <v>29</v>
      </c>
      <c r="R6" s="24" t="s">
        <v>32</v>
      </c>
      <c r="S6" s="2" t="s">
        <v>33</v>
      </c>
      <c r="T6" s="3" t="s">
        <v>34</v>
      </c>
      <c r="U6" s="2" t="s">
        <v>29</v>
      </c>
      <c r="V6" s="26">
        <f>COUNTIF(B6:U6,"*")</f>
        <v>20</v>
      </c>
    </row>
    <row r="7" spans="1:22" ht="14.25" customHeight="1" x14ac:dyDescent="0.25">
      <c r="A7" s="9" t="s">
        <v>50</v>
      </c>
      <c r="B7" s="10"/>
      <c r="C7" s="10"/>
      <c r="D7" s="11"/>
      <c r="E7" s="10"/>
      <c r="F7" s="10"/>
      <c r="G7" s="10"/>
      <c r="H7" s="11"/>
      <c r="I7" s="10"/>
      <c r="J7" s="10"/>
      <c r="K7" s="21" t="s">
        <v>53</v>
      </c>
      <c r="L7" s="21" t="s">
        <v>29</v>
      </c>
      <c r="M7" s="21" t="s">
        <v>56</v>
      </c>
      <c r="N7" s="21" t="s">
        <v>29</v>
      </c>
      <c r="O7" s="21" t="s">
        <v>58</v>
      </c>
      <c r="P7" s="21" t="s">
        <v>29</v>
      </c>
      <c r="Q7" s="21" t="s">
        <v>59</v>
      </c>
      <c r="R7" s="3" t="s">
        <v>32</v>
      </c>
      <c r="S7" s="2" t="s">
        <v>33</v>
      </c>
      <c r="T7" s="11"/>
      <c r="U7" s="10"/>
      <c r="V7" s="26">
        <f>COUNTIF(B7:U7,"*")</f>
        <v>9</v>
      </c>
    </row>
    <row r="8" spans="1:22" ht="14.25" customHeight="1" x14ac:dyDescent="0.25">
      <c r="A8" s="5" t="s">
        <v>38</v>
      </c>
      <c r="B8" s="12"/>
      <c r="C8" s="12"/>
      <c r="D8" s="13"/>
      <c r="E8" s="12"/>
      <c r="F8" s="12"/>
      <c r="G8" s="12"/>
      <c r="H8" s="13"/>
      <c r="I8" s="12"/>
      <c r="J8" s="12"/>
      <c r="K8" s="12"/>
      <c r="L8" s="12"/>
      <c r="M8" s="12"/>
      <c r="N8" s="12"/>
      <c r="O8" s="12"/>
      <c r="P8" s="12"/>
      <c r="Q8" s="12"/>
      <c r="R8" s="13"/>
      <c r="S8" s="12"/>
      <c r="T8" s="13"/>
      <c r="U8" s="12"/>
      <c r="V8" s="6"/>
    </row>
    <row r="9" spans="1:22" ht="14.25" customHeight="1" x14ac:dyDescent="0.25">
      <c r="A9" s="14" t="s">
        <v>39</v>
      </c>
      <c r="B9" s="10"/>
      <c r="C9" s="10"/>
      <c r="D9" s="22" t="s">
        <v>40</v>
      </c>
      <c r="E9" s="22" t="s">
        <v>29</v>
      </c>
      <c r="F9" s="23" t="s">
        <v>41</v>
      </c>
      <c r="G9" s="22" t="s">
        <v>29</v>
      </c>
      <c r="H9" s="22" t="s">
        <v>60</v>
      </c>
      <c r="I9" s="22" t="s">
        <v>29</v>
      </c>
      <c r="J9" s="22" t="s">
        <v>61</v>
      </c>
      <c r="K9" s="22" t="s">
        <v>29</v>
      </c>
      <c r="L9" s="22" t="s">
        <v>62</v>
      </c>
      <c r="M9" s="22" t="s">
        <v>29</v>
      </c>
      <c r="N9" s="22" t="s">
        <v>63</v>
      </c>
      <c r="O9" s="22" t="s">
        <v>29</v>
      </c>
      <c r="P9" s="22" t="s">
        <v>64</v>
      </c>
      <c r="Q9" s="22" t="s">
        <v>29</v>
      </c>
      <c r="R9" s="3" t="s">
        <v>32</v>
      </c>
      <c r="S9" s="2" t="s">
        <v>33</v>
      </c>
      <c r="T9" s="3" t="s">
        <v>34</v>
      </c>
      <c r="U9" s="2" t="s">
        <v>29</v>
      </c>
      <c r="V9" s="26">
        <f>COUNTIF(B9:U9,"*")</f>
        <v>18</v>
      </c>
    </row>
    <row r="10" spans="1:22" ht="14.25" customHeight="1" x14ac:dyDescent="0.25">
      <c r="A10" s="14" t="s">
        <v>42</v>
      </c>
      <c r="B10" s="10"/>
      <c r="C10" s="10"/>
      <c r="D10" s="11"/>
      <c r="E10" s="10"/>
      <c r="F10" s="10"/>
      <c r="G10" s="10"/>
      <c r="H10" s="22" t="s">
        <v>65</v>
      </c>
      <c r="I10" s="22" t="s">
        <v>29</v>
      </c>
      <c r="J10" s="22" t="s">
        <v>66</v>
      </c>
      <c r="K10" s="22" t="s">
        <v>29</v>
      </c>
      <c r="L10" s="22" t="s">
        <v>67</v>
      </c>
      <c r="M10" s="22" t="s">
        <v>29</v>
      </c>
      <c r="N10" s="22" t="s">
        <v>43</v>
      </c>
      <c r="O10" s="22" t="s">
        <v>29</v>
      </c>
      <c r="P10" s="22" t="s">
        <v>68</v>
      </c>
      <c r="Q10" s="22" t="s">
        <v>29</v>
      </c>
      <c r="R10" s="3" t="s">
        <v>32</v>
      </c>
      <c r="S10" s="2" t="s">
        <v>33</v>
      </c>
      <c r="T10" s="11"/>
      <c r="U10" s="10"/>
      <c r="V10" s="26">
        <f>COUNTIF(B10:U10,"*")</f>
        <v>12</v>
      </c>
    </row>
    <row r="11" spans="1:22" ht="14.25" customHeight="1" x14ac:dyDescent="0.25">
      <c r="A11" s="5" t="s">
        <v>44</v>
      </c>
      <c r="B11" s="6"/>
      <c r="C11" s="6"/>
      <c r="D11" s="7"/>
      <c r="E11" s="6"/>
      <c r="F11" s="6"/>
      <c r="G11" s="6"/>
      <c r="H11" s="7"/>
      <c r="I11" s="6"/>
      <c r="J11" s="6"/>
      <c r="K11" s="6"/>
      <c r="L11" s="6"/>
      <c r="M11" s="6"/>
      <c r="N11" s="6"/>
      <c r="O11" s="6"/>
      <c r="P11" s="6"/>
      <c r="Q11" s="6"/>
      <c r="R11" s="7"/>
      <c r="S11" s="6"/>
      <c r="T11" s="7"/>
      <c r="U11" s="6"/>
      <c r="V11" s="6"/>
    </row>
    <row r="12" spans="1:22" ht="14.25" customHeight="1" x14ac:dyDescent="0.25">
      <c r="A12" s="15" t="s">
        <v>45</v>
      </c>
      <c r="B12" s="10"/>
      <c r="C12" s="10"/>
      <c r="D12" s="11"/>
      <c r="E12" s="10"/>
      <c r="F12" s="10"/>
      <c r="G12" s="10"/>
      <c r="H12" s="11"/>
      <c r="I12" s="10"/>
      <c r="J12" s="10"/>
      <c r="K12" s="11"/>
      <c r="L12" s="10"/>
      <c r="M12" s="25" t="s">
        <v>69</v>
      </c>
      <c r="N12" s="25" t="s">
        <v>29</v>
      </c>
      <c r="O12" s="25" t="s">
        <v>70</v>
      </c>
      <c r="P12" s="25" t="s">
        <v>29</v>
      </c>
      <c r="Q12" s="25" t="s">
        <v>76</v>
      </c>
      <c r="R12" s="24" t="s">
        <v>32</v>
      </c>
      <c r="S12" s="2" t="s">
        <v>33</v>
      </c>
      <c r="T12" s="3" t="s">
        <v>34</v>
      </c>
      <c r="U12" s="2" t="s">
        <v>29</v>
      </c>
      <c r="V12" s="26">
        <f>COUNTIF(B12:U12,"*")</f>
        <v>9</v>
      </c>
    </row>
    <row r="13" spans="1:22" ht="14.25" customHeight="1" x14ac:dyDescent="0.25">
      <c r="A13" s="8" t="s">
        <v>2</v>
      </c>
      <c r="B13" s="2" t="s">
        <v>29</v>
      </c>
      <c r="C13" s="2" t="s">
        <v>29</v>
      </c>
      <c r="D13" s="3" t="s">
        <v>29</v>
      </c>
      <c r="E13" s="2" t="s">
        <v>29</v>
      </c>
      <c r="F13" s="2" t="s">
        <v>29</v>
      </c>
      <c r="G13" s="2" t="s">
        <v>29</v>
      </c>
      <c r="H13" s="2" t="s">
        <v>29</v>
      </c>
      <c r="I13" s="2" t="s">
        <v>29</v>
      </c>
      <c r="J13" s="2" t="s">
        <v>29</v>
      </c>
      <c r="K13" s="2" t="s">
        <v>29</v>
      </c>
      <c r="L13" s="2" t="s">
        <v>29</v>
      </c>
      <c r="M13" s="20" t="s">
        <v>29</v>
      </c>
      <c r="N13" s="2" t="s">
        <v>29</v>
      </c>
      <c r="O13" s="2" t="s">
        <v>29</v>
      </c>
      <c r="P13" s="2" t="s">
        <v>29</v>
      </c>
      <c r="Q13" s="2" t="s">
        <v>29</v>
      </c>
      <c r="R13" s="3" t="s">
        <v>32</v>
      </c>
      <c r="S13" s="2" t="s">
        <v>33</v>
      </c>
      <c r="T13" s="3" t="s">
        <v>34</v>
      </c>
      <c r="U13" s="2" t="s">
        <v>29</v>
      </c>
      <c r="V13" s="26">
        <f>COUNTIF(B13:U13,"*")</f>
        <v>20</v>
      </c>
    </row>
    <row r="14" spans="1:22" ht="14.25" customHeight="1" thickBot="1" x14ac:dyDescent="0.3"/>
    <row r="15" spans="1:22" ht="14.25" customHeight="1" x14ac:dyDescent="0.25">
      <c r="U15" s="16" t="s">
        <v>46</v>
      </c>
      <c r="V15" s="17">
        <f>SUM(V3:V13)</f>
        <v>108</v>
      </c>
    </row>
    <row r="16" spans="1:22" ht="14.25" customHeight="1" thickBot="1" x14ac:dyDescent="0.3">
      <c r="U16" s="18" t="s">
        <v>47</v>
      </c>
      <c r="V16" s="19">
        <f>V15/4</f>
        <v>27</v>
      </c>
    </row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</sheetData>
  <mergeCells count="5">
    <mergeCell ref="R1:S1"/>
    <mergeCell ref="H1:Q1"/>
    <mergeCell ref="B1:C1"/>
    <mergeCell ref="D1:G1"/>
    <mergeCell ref="T1:U1"/>
  </mergeCells>
  <phoneticPr fontId="8" type="noConversion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A65F4-A5A3-4740-BC0D-24CF3F4B8D10}">
  <dimension ref="A1:Z11"/>
  <sheetViews>
    <sheetView tabSelected="1" zoomScaleNormal="100" workbookViewId="0">
      <selection activeCell="D29" sqref="D29"/>
    </sheetView>
  </sheetViews>
  <sheetFormatPr baseColWidth="10" defaultColWidth="22" defaultRowHeight="12.75" x14ac:dyDescent="0.2"/>
  <cols>
    <col min="1" max="16384" width="22" style="32"/>
  </cols>
  <sheetData>
    <row r="1" spans="1:26" ht="19.5" customHeight="1" x14ac:dyDescent="0.2">
      <c r="A1" s="64" t="s">
        <v>88</v>
      </c>
      <c r="B1" s="64"/>
      <c r="C1" s="64"/>
      <c r="D1" s="64"/>
      <c r="E1" s="64"/>
      <c r="F1" s="64"/>
      <c r="G1" s="64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</row>
    <row r="2" spans="1:26" ht="34.5" customHeight="1" x14ac:dyDescent="0.2">
      <c r="A2" s="63" t="s">
        <v>87</v>
      </c>
      <c r="B2" s="62" t="s">
        <v>86</v>
      </c>
      <c r="C2" s="61" t="s">
        <v>85</v>
      </c>
      <c r="D2" s="61" t="s">
        <v>84</v>
      </c>
      <c r="E2" s="61" t="s">
        <v>83</v>
      </c>
      <c r="F2" s="61" t="s">
        <v>82</v>
      </c>
      <c r="G2" s="61" t="s">
        <v>81</v>
      </c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</row>
    <row r="3" spans="1:26" ht="18" customHeight="1" x14ac:dyDescent="0.2">
      <c r="A3" s="60" t="s">
        <v>27</v>
      </c>
      <c r="B3" s="58">
        <v>4000</v>
      </c>
      <c r="C3" s="59">
        <v>4000</v>
      </c>
      <c r="D3" s="58">
        <v>4000</v>
      </c>
      <c r="E3" s="59">
        <v>4000</v>
      </c>
      <c r="F3" s="58">
        <v>4000</v>
      </c>
      <c r="G3" s="39">
        <v>20000</v>
      </c>
      <c r="H3" s="56"/>
      <c r="I3" s="45"/>
      <c r="J3" s="56"/>
      <c r="K3" s="56"/>
      <c r="L3" s="56"/>
      <c r="M3" s="45"/>
      <c r="N3" s="56"/>
      <c r="O3" s="45"/>
      <c r="P3" s="56"/>
      <c r="Q3" s="45"/>
      <c r="R3" s="56"/>
      <c r="S3" s="45"/>
      <c r="T3" s="56"/>
      <c r="U3" s="45"/>
      <c r="V3" s="56"/>
      <c r="W3" s="45"/>
      <c r="X3" s="56"/>
      <c r="Y3" s="45"/>
      <c r="Z3" s="56"/>
    </row>
    <row r="4" spans="1:26" ht="18" customHeight="1" x14ac:dyDescent="0.2">
      <c r="A4" s="57" t="s">
        <v>36</v>
      </c>
      <c r="B4" s="51">
        <v>4000</v>
      </c>
      <c r="C4" s="52">
        <v>4000</v>
      </c>
      <c r="D4" s="51">
        <v>4000</v>
      </c>
      <c r="E4" s="52">
        <v>4000</v>
      </c>
      <c r="F4" s="51">
        <v>4000</v>
      </c>
      <c r="G4" s="39">
        <v>20000</v>
      </c>
      <c r="H4" s="56"/>
      <c r="I4" s="45"/>
      <c r="J4" s="56"/>
      <c r="K4" s="45"/>
      <c r="L4" s="56"/>
      <c r="M4" s="45"/>
      <c r="N4" s="56"/>
      <c r="O4" s="45"/>
      <c r="P4" s="56"/>
      <c r="Q4" s="45"/>
      <c r="R4" s="56"/>
      <c r="S4" s="45"/>
      <c r="T4" s="56"/>
      <c r="U4" s="45"/>
      <c r="V4" s="56"/>
      <c r="W4" s="45"/>
      <c r="X4" s="56"/>
      <c r="Y4" s="45"/>
      <c r="Z4" s="56"/>
    </row>
    <row r="5" spans="1:26" ht="18" customHeight="1" x14ac:dyDescent="0.2">
      <c r="A5" s="55" t="s">
        <v>50</v>
      </c>
      <c r="B5" s="54" t="s">
        <v>80</v>
      </c>
      <c r="C5" s="53" t="s">
        <v>80</v>
      </c>
      <c r="D5" s="51">
        <v>3000</v>
      </c>
      <c r="E5" s="52">
        <v>4000</v>
      </c>
      <c r="F5" s="51">
        <v>2000</v>
      </c>
      <c r="G5" s="39">
        <v>9000</v>
      </c>
      <c r="H5" s="49"/>
      <c r="I5" s="45"/>
      <c r="J5" s="49"/>
      <c r="K5" s="45"/>
      <c r="L5" s="49"/>
      <c r="M5" s="45"/>
      <c r="N5" s="49"/>
      <c r="O5" s="45"/>
      <c r="P5" s="49"/>
      <c r="Q5" s="45"/>
      <c r="R5" s="49"/>
      <c r="S5" s="45"/>
      <c r="T5" s="49"/>
      <c r="U5" s="45"/>
      <c r="V5" s="49"/>
      <c r="W5" s="45"/>
      <c r="X5" s="49"/>
      <c r="Y5" s="45"/>
      <c r="Z5" s="49"/>
    </row>
    <row r="6" spans="1:26" ht="18" customHeight="1" x14ac:dyDescent="0.2">
      <c r="A6" s="48" t="s">
        <v>39</v>
      </c>
      <c r="B6" s="50">
        <v>2000</v>
      </c>
      <c r="C6" s="46">
        <v>4000</v>
      </c>
      <c r="D6" s="50">
        <v>4000</v>
      </c>
      <c r="E6" s="46">
        <v>4000</v>
      </c>
      <c r="F6" s="46">
        <v>4000</v>
      </c>
      <c r="G6" s="39">
        <v>18000</v>
      </c>
      <c r="H6" s="45"/>
      <c r="I6" s="45"/>
      <c r="J6" s="49"/>
      <c r="K6" s="45"/>
      <c r="L6" s="45"/>
      <c r="M6" s="45"/>
      <c r="N6" s="45"/>
      <c r="O6" s="45"/>
      <c r="P6" s="45"/>
      <c r="Q6" s="45"/>
      <c r="R6" s="45"/>
      <c r="S6" s="45"/>
      <c r="T6" s="49"/>
      <c r="U6" s="45"/>
      <c r="V6" s="49"/>
      <c r="W6" s="45"/>
      <c r="X6" s="49"/>
      <c r="Y6" s="45"/>
      <c r="Z6" s="49"/>
    </row>
    <row r="7" spans="1:26" ht="18" customHeight="1" x14ac:dyDescent="0.2">
      <c r="A7" s="48" t="s">
        <v>42</v>
      </c>
      <c r="B7" s="47" t="s">
        <v>80</v>
      </c>
      <c r="C7" s="46">
        <v>2000</v>
      </c>
      <c r="D7" s="46">
        <v>4000</v>
      </c>
      <c r="E7" s="46">
        <v>4000</v>
      </c>
      <c r="F7" s="46">
        <v>2000</v>
      </c>
      <c r="G7" s="39">
        <v>12000</v>
      </c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</row>
    <row r="8" spans="1:26" ht="18" customHeight="1" x14ac:dyDescent="0.2">
      <c r="A8" s="44" t="s">
        <v>45</v>
      </c>
      <c r="B8" s="43" t="s">
        <v>80</v>
      </c>
      <c r="C8" s="43" t="s">
        <v>80</v>
      </c>
      <c r="D8" s="42">
        <v>1000</v>
      </c>
      <c r="E8" s="42">
        <v>4000</v>
      </c>
      <c r="F8" s="42">
        <v>4000</v>
      </c>
      <c r="G8" s="39">
        <v>9000</v>
      </c>
    </row>
    <row r="9" spans="1:26" ht="18" customHeight="1" x14ac:dyDescent="0.2">
      <c r="A9" s="41" t="s">
        <v>2</v>
      </c>
      <c r="B9" s="40">
        <v>4000</v>
      </c>
      <c r="C9" s="40">
        <v>4000</v>
      </c>
      <c r="D9" s="40">
        <v>4000</v>
      </c>
      <c r="E9" s="40">
        <v>4000</v>
      </c>
      <c r="F9" s="40">
        <v>4000</v>
      </c>
      <c r="G9" s="39">
        <v>20000</v>
      </c>
    </row>
    <row r="10" spans="1:26" ht="21.75" customHeight="1" x14ac:dyDescent="0.2">
      <c r="A10" s="38" t="s">
        <v>79</v>
      </c>
      <c r="B10" s="37">
        <v>14000</v>
      </c>
      <c r="C10" s="37">
        <v>18000</v>
      </c>
      <c r="D10" s="37">
        <v>24000</v>
      </c>
      <c r="E10" s="37">
        <v>28000</v>
      </c>
      <c r="F10" s="37">
        <v>24000</v>
      </c>
      <c r="G10" s="36">
        <v>108000</v>
      </c>
    </row>
    <row r="11" spans="1:26" ht="15.75" customHeight="1" x14ac:dyDescent="0.2">
      <c r="A11" s="35" t="s">
        <v>78</v>
      </c>
      <c r="B11" s="34">
        <v>14</v>
      </c>
      <c r="C11" s="34">
        <v>18</v>
      </c>
      <c r="D11" s="34">
        <v>24</v>
      </c>
      <c r="E11" s="34">
        <v>28</v>
      </c>
      <c r="F11" s="34">
        <v>24</v>
      </c>
      <c r="G11" s="33">
        <v>108</v>
      </c>
    </row>
  </sheetData>
  <mergeCells count="1">
    <mergeCell ref="A1:G1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 Ruta</vt:lpstr>
      <vt:lpstr>Presupuesto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Raluy</dc:creator>
  <cp:lastModifiedBy>Endika Fernández Olabarrieta</cp:lastModifiedBy>
  <dcterms:created xsi:type="dcterms:W3CDTF">2015-06-05T18:19:34Z</dcterms:created>
  <dcterms:modified xsi:type="dcterms:W3CDTF">2026-05-30T15:45:35Z</dcterms:modified>
</cp:coreProperties>
</file>