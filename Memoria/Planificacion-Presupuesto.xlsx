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Endika\Documents\GitHub\TFG\Memoria\"/>
    </mc:Choice>
  </mc:AlternateContent>
  <xr:revisionPtr revIDLastSave="0" documentId="13_ncr:1_{FDFFEA8C-E189-4D75-82AF-305860C164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 Ruta" sheetId="1" r:id="rId1"/>
    <sheet name="Presupuesto" sheetId="3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Sjk+M5CCqxISI0TdjNjXkb8nHP5y9FkqMkzCuaa38dA="/>
    </ext>
  </extLst>
</workbook>
</file>

<file path=xl/calcChain.xml><?xml version="1.0" encoding="utf-8"?>
<calcChain xmlns="http://schemas.openxmlformats.org/spreadsheetml/2006/main">
  <c r="B5" i="3" l="1"/>
  <c r="B6" i="3" s="1"/>
  <c r="D5" i="3"/>
  <c r="D6" i="3" s="1"/>
  <c r="F5" i="3"/>
  <c r="H5" i="3"/>
  <c r="J5" i="3"/>
  <c r="J6" i="3" s="1"/>
  <c r="L5" i="3"/>
  <c r="N5" i="3"/>
  <c r="P5" i="3"/>
  <c r="R5" i="3"/>
  <c r="T5" i="3"/>
  <c r="T6" i="3" s="1"/>
  <c r="V5" i="3"/>
  <c r="V6" i="3" s="1"/>
  <c r="X5" i="3"/>
  <c r="X6" i="3" s="1"/>
  <c r="Z5" i="3"/>
  <c r="Z6" i="3" s="1"/>
  <c r="W14" i="1"/>
  <c r="W13" i="1"/>
  <c r="W11" i="1"/>
  <c r="W10" i="1"/>
  <c r="W8" i="1"/>
  <c r="W7" i="1"/>
  <c r="W5" i="1"/>
  <c r="W16" i="1" l="1"/>
  <c r="W17" i="1" s="1"/>
  <c r="B7" i="3"/>
</calcChain>
</file>

<file path=xl/sharedStrings.xml><?xml version="1.0" encoding="utf-8"?>
<sst xmlns="http://schemas.openxmlformats.org/spreadsheetml/2006/main" count="276" uniqueCount="141">
  <si>
    <t>Concept</t>
  </si>
  <si>
    <t>Prepro</t>
  </si>
  <si>
    <t>Produccion</t>
  </si>
  <si>
    <t>Alpha</t>
  </si>
  <si>
    <t>External  QA</t>
  </si>
  <si>
    <t>STREET DATE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</si>
  <si>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</si>
  <si>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</si>
  <si>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</si>
  <si>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</si>
  <si>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</si>
  <si>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</si>
  <si>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</si>
  <si>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</si>
  <si>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</si>
  <si>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</si>
  <si>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</si>
  <si>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</si>
  <si>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</si>
  <si>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</si>
  <si>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</si>
  <si>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</si>
  <si>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</si>
  <si>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</si>
  <si>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</si>
  <si>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</si>
  <si>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Polish</t>
  </si>
  <si>
    <t>Int QA</t>
  </si>
  <si>
    <t>DISEÑO</t>
  </si>
  <si>
    <t>Lead Diseño</t>
  </si>
  <si>
    <t>GDD draft</t>
  </si>
  <si>
    <t>&lt;--</t>
  </si>
  <si>
    <t>Gdd Final</t>
  </si>
  <si>
    <t>Script Draft</t>
  </si>
  <si>
    <t xml:space="preserve">Script Draft2 </t>
  </si>
  <si>
    <t>Script Final</t>
  </si>
  <si>
    <t>Implementación Escena Clase(1)</t>
  </si>
  <si>
    <t>Implementación Escena Pasillo(2)</t>
  </si>
  <si>
    <t>Implementación Escena Baño(3)</t>
  </si>
  <si>
    <t>Implementación Escena Faro(4)</t>
  </si>
  <si>
    <t>Iteración Escenas 1-2</t>
  </si>
  <si>
    <t>Iteración Escenas 3-4</t>
  </si>
  <si>
    <t>Integración narrativa</t>
  </si>
  <si>
    <t>Integración gameplay</t>
  </si>
  <si>
    <t>Playtesting</t>
  </si>
  <si>
    <t>polish</t>
  </si>
  <si>
    <t>Bug Fixing</t>
  </si>
  <si>
    <t>support</t>
  </si>
  <si>
    <t>ARTE</t>
  </si>
  <si>
    <t>Artista 1</t>
  </si>
  <si>
    <t>Concepts</t>
  </si>
  <si>
    <t>FARO</t>
  </si>
  <si>
    <t>Victoria</t>
  </si>
  <si>
    <t>Pasillo1</t>
  </si>
  <si>
    <t>Cloe</t>
  </si>
  <si>
    <t>Baño</t>
  </si>
  <si>
    <t>Clase</t>
  </si>
  <si>
    <t>Pasillo2</t>
  </si>
  <si>
    <t>Anim1</t>
  </si>
  <si>
    <t>Relax</t>
  </si>
  <si>
    <t>Andar</t>
  </si>
  <si>
    <t>Correr</t>
  </si>
  <si>
    <t>Cubrise</t>
  </si>
  <si>
    <t>CAPTURA</t>
  </si>
  <si>
    <t>LimpiezaA</t>
  </si>
  <si>
    <t>LimpiezaB</t>
  </si>
  <si>
    <t>PROGR.</t>
  </si>
  <si>
    <t>Progr1</t>
  </si>
  <si>
    <t>Menu</t>
  </si>
  <si>
    <t>Scorer</t>
  </si>
  <si>
    <t>Interactuar</t>
  </si>
  <si>
    <t>Responder</t>
  </si>
  <si>
    <t>Rebobinar</t>
  </si>
  <si>
    <t>Sentada</t>
  </si>
  <si>
    <t>Andar cubri.</t>
  </si>
  <si>
    <t>Camara</t>
  </si>
  <si>
    <t>Progr2</t>
  </si>
  <si>
    <t xml:space="preserve">Logica Juego </t>
  </si>
  <si>
    <t>OTROS</t>
  </si>
  <si>
    <t>Sonido</t>
  </si>
  <si>
    <t>Gameplay</t>
  </si>
  <si>
    <t>VFX externo</t>
  </si>
  <si>
    <t>TOTAL MW</t>
  </si>
  <si>
    <t>TOTAL MM</t>
  </si>
  <si>
    <t>LEYENDA</t>
  </si>
  <si>
    <t>CIFRAS</t>
  </si>
  <si>
    <t>MECANICA</t>
  </si>
  <si>
    <t>LOCALIZACION</t>
  </si>
  <si>
    <t>Max</t>
  </si>
  <si>
    <t>Profe</t>
  </si>
  <si>
    <t>Kate</t>
  </si>
  <si>
    <t>Nathan</t>
  </si>
  <si>
    <t>PERSONAJES secundarios</t>
  </si>
  <si>
    <t>NO LOS CONSIDERAMOS PARA HACER EL EJERCICIO MAS SENCILLO</t>
  </si>
  <si>
    <t>LOCALIZACIONES (Arte) Hacer despues de los personajes siempre que sea posible</t>
  </si>
  <si>
    <t>(los entornos se pueden dividir entre varios artistas)</t>
  </si>
  <si>
    <t>ARTE Anim y captura</t>
  </si>
  <si>
    <t xml:space="preserve">Lo primero que tendrian que hacer animacion. Suponemos que no es necesario tener los personajes para ello. Son 4 semanas para TODOS lso personajes </t>
  </si>
  <si>
    <t>(estas se pueden hacer con KeyFrame; no esperar a hacer captura) (*)</t>
  </si>
  <si>
    <t>TRAS la captura</t>
  </si>
  <si>
    <t>MECANICAS ( Prog)</t>
  </si>
  <si>
    <t>Tiene que tener las animaciones correspondientes hechas (*)</t>
  </si>
  <si>
    <t>NO tiene dependecias ; se puede hacer al principio</t>
  </si>
  <si>
    <t>Idem</t>
  </si>
  <si>
    <t>SONO</t>
  </si>
  <si>
    <t>NO tiene por que estar la captura</t>
  </si>
  <si>
    <t>total</t>
  </si>
  <si>
    <t>cada fase</t>
  </si>
  <si>
    <t>cada mes</t>
  </si>
  <si>
    <t xml:space="preserve">PATCH </t>
  </si>
  <si>
    <t>SUBMISSION</t>
  </si>
  <si>
    <t>Ext QA</t>
  </si>
  <si>
    <t>ALPHA</t>
  </si>
  <si>
    <t>PROD5</t>
  </si>
  <si>
    <t>PROD4</t>
  </si>
  <si>
    <t>PROD3</t>
  </si>
  <si>
    <t>PROD2</t>
  </si>
  <si>
    <t>PROD1</t>
  </si>
  <si>
    <t>Prepro3- VS2</t>
  </si>
  <si>
    <t>Prepro2 - VS1</t>
  </si>
  <si>
    <t>Prepro1-PoC</t>
  </si>
  <si>
    <t>MS14</t>
  </si>
  <si>
    <t>MS13</t>
  </si>
  <si>
    <t>MS12</t>
  </si>
  <si>
    <t>MS11</t>
  </si>
  <si>
    <t>MS9</t>
  </si>
  <si>
    <t>MS8</t>
  </si>
  <si>
    <t>MS7</t>
  </si>
  <si>
    <t>MS6</t>
  </si>
  <si>
    <t>MS5</t>
  </si>
  <si>
    <t>MS4</t>
  </si>
  <si>
    <t>MS3</t>
  </si>
  <si>
    <t>MS2</t>
  </si>
  <si>
    <t>MS1</t>
  </si>
  <si>
    <t>Presupuesto</t>
  </si>
  <si>
    <t>He asumido que los trabajadores que trabajan medio mes cobran por mes entero</t>
  </si>
  <si>
    <t>Recta</t>
  </si>
  <si>
    <t>Curva izq</t>
  </si>
  <si>
    <t>Curva dere</t>
  </si>
  <si>
    <t>Recta principal/salida</t>
  </si>
  <si>
    <t>Props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</si>
</sst>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rgb="FFFF33CC"/>
      <name val="Calibri"/>
    </font>
    <font>
      <b/>
      <sz val="11"/>
      <color rgb="FFFF33CC"/>
      <name val="Calibri"/>
    </font>
    <font>
      <sz val="10"/>
      <color rgb="FF000000"/>
      <name val="Arial"/>
    </font>
    <font>
      <sz val="10"/>
      <color rgb="FF000000"/>
      <name val="Arial"/>
      <family val="2"/>
    </font>
    <font>
      <sz val="10"/>
      <name val="Arial"/>
      <family val="2"/>
    </font>
    <font>
      <sz val="8"/>
      <name val="Calibri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theme="7"/>
        <bgColor theme="7"/>
      </patternFill>
    </fill>
    <fill>
      <patternFill patternType="solid">
        <fgColor rgb="FFDEEAF6"/>
        <bgColor rgb="FFDEEAF6"/>
      </patternFill>
    </fill>
    <fill>
      <patternFill patternType="solid">
        <fgColor rgb="FF8EAADB"/>
        <bgColor rgb="FF8EAADB"/>
      </patternFill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rgb="FFA5A5A5"/>
        <bgColor rgb="FFA5A5A5"/>
      </patternFill>
    </fill>
    <fill>
      <patternFill patternType="solid">
        <fgColor rgb="FFE7E6E6"/>
        <bgColor rgb="FFE7E6E6"/>
      </patternFill>
    </fill>
    <fill>
      <patternFill patternType="solid">
        <fgColor rgb="FFC5E0B3"/>
        <bgColor rgb="FFC5E0B3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rgb="FFFF33CC"/>
        <bgColor rgb="FFFF33CC"/>
      </patternFill>
    </fill>
    <fill>
      <patternFill patternType="solid">
        <fgColor rgb="FFC50BAA"/>
        <bgColor rgb="FFC50BAA"/>
      </patternFill>
    </fill>
    <fill>
      <patternFill patternType="solid">
        <fgColor rgb="FFECECEC"/>
        <bgColor rgb="FFECECEC"/>
      </patternFill>
    </fill>
    <fill>
      <patternFill patternType="solid">
        <fgColor theme="4"/>
        <bgColor theme="4"/>
      </patternFill>
    </fill>
    <fill>
      <patternFill patternType="solid">
        <fgColor rgb="FFBF9000"/>
        <bgColor rgb="FFBF900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D5A6BD"/>
        <bgColor rgb="FFD5A6BD"/>
      </patternFill>
    </fill>
    <fill>
      <patternFill patternType="solid">
        <fgColor rgb="FFEA9999"/>
        <bgColor rgb="FFEA9999"/>
      </patternFill>
    </fill>
    <fill>
      <patternFill patternType="solid">
        <fgColor rgb="FFB4A7D6"/>
        <bgColor rgb="FFB4A7D6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3"/>
  </cellStyleXfs>
  <cellXfs count="84">
    <xf numFmtId="0" fontId="0" fillId="0" borderId="0" xfId="0"/>
    <xf numFmtId="0" fontId="1" fillId="7" borderId="3" xfId="0" applyFont="1" applyFill="1" applyBorder="1"/>
    <xf numFmtId="0" fontId="3" fillId="0" borderId="0" xfId="0" applyFont="1"/>
    <xf numFmtId="0" fontId="1" fillId="0" borderId="4" xfId="0" applyFont="1" applyBorder="1"/>
    <xf numFmtId="0" fontId="1" fillId="7" borderId="5" xfId="0" applyFont="1" applyFill="1" applyBorder="1"/>
    <xf numFmtId="0" fontId="4" fillId="8" borderId="3" xfId="0" applyFont="1" applyFill="1" applyBorder="1"/>
    <xf numFmtId="0" fontId="1" fillId="8" borderId="3" xfId="0" applyFont="1" applyFill="1" applyBorder="1"/>
    <xf numFmtId="0" fontId="1" fillId="8" borderId="5" xfId="0" applyFont="1" applyFill="1" applyBorder="1"/>
    <xf numFmtId="0" fontId="1" fillId="9" borderId="3" xfId="0" applyFont="1" applyFill="1" applyBorder="1"/>
    <xf numFmtId="0" fontId="4" fillId="0" borderId="0" xfId="0" applyFont="1"/>
    <xf numFmtId="0" fontId="5" fillId="0" borderId="0" xfId="0" applyFont="1"/>
    <xf numFmtId="0" fontId="4" fillId="10" borderId="3" xfId="0" applyFont="1" applyFill="1" applyBorder="1"/>
    <xf numFmtId="0" fontId="1" fillId="11" borderId="6" xfId="0" applyFont="1" applyFill="1" applyBorder="1"/>
    <xf numFmtId="0" fontId="1" fillId="11" borderId="7" xfId="0" applyFont="1" applyFill="1" applyBorder="1"/>
    <xf numFmtId="0" fontId="1" fillId="11" borderId="8" xfId="0" applyFont="1" applyFill="1" applyBorder="1"/>
    <xf numFmtId="0" fontId="1" fillId="12" borderId="3" xfId="0" applyFont="1" applyFill="1" applyBorder="1"/>
    <xf numFmtId="0" fontId="1" fillId="11" borderId="10" xfId="0" applyFont="1" applyFill="1" applyBorder="1"/>
    <xf numFmtId="0" fontId="1" fillId="12" borderId="5" xfId="0" applyFont="1" applyFill="1" applyBorder="1"/>
    <xf numFmtId="0" fontId="1" fillId="11" borderId="9" xfId="0" applyFont="1" applyFill="1" applyBorder="1"/>
    <xf numFmtId="0" fontId="1" fillId="11" borderId="11" xfId="0" applyFont="1" applyFill="1" applyBorder="1"/>
    <xf numFmtId="0" fontId="4" fillId="13" borderId="3" xfId="0" applyFont="1" applyFill="1" applyBorder="1"/>
    <xf numFmtId="0" fontId="1" fillId="13" borderId="5" xfId="0" applyFont="1" applyFill="1" applyBorder="1"/>
    <xf numFmtId="0" fontId="1" fillId="13" borderId="3" xfId="0" applyFont="1" applyFill="1" applyBorder="1"/>
    <xf numFmtId="0" fontId="1" fillId="14" borderId="8" xfId="0" applyFont="1" applyFill="1" applyBorder="1"/>
    <xf numFmtId="0" fontId="1" fillId="14" borderId="7" xfId="0" applyFont="1" applyFill="1" applyBorder="1"/>
    <xf numFmtId="0" fontId="1" fillId="13" borderId="6" xfId="0" applyFont="1" applyFill="1" applyBorder="1"/>
    <xf numFmtId="0" fontId="1" fillId="13" borderId="7" xfId="0" applyFont="1" applyFill="1" applyBorder="1"/>
    <xf numFmtId="0" fontId="1" fillId="13" borderId="10" xfId="0" applyFont="1" applyFill="1" applyBorder="1"/>
    <xf numFmtId="0" fontId="6" fillId="8" borderId="3" xfId="0" applyFont="1" applyFill="1" applyBorder="1"/>
    <xf numFmtId="0" fontId="6" fillId="8" borderId="5" xfId="0" applyFont="1" applyFill="1" applyBorder="1"/>
    <xf numFmtId="0" fontId="6" fillId="15" borderId="3" xfId="0" applyFont="1" applyFill="1" applyBorder="1"/>
    <xf numFmtId="0" fontId="4" fillId="6" borderId="3" xfId="0" applyFont="1" applyFill="1" applyBorder="1"/>
    <xf numFmtId="0" fontId="1" fillId="6" borderId="6" xfId="0" applyFont="1" applyFill="1" applyBorder="1"/>
    <xf numFmtId="0" fontId="1" fillId="6" borderId="10" xfId="0" applyFont="1" applyFill="1" applyBorder="1"/>
    <xf numFmtId="0" fontId="1" fillId="6" borderId="12" xfId="0" applyFont="1" applyFill="1" applyBorder="1"/>
    <xf numFmtId="0" fontId="1" fillId="6" borderId="11" xfId="0" applyFont="1" applyFill="1" applyBorder="1"/>
    <xf numFmtId="0" fontId="1" fillId="16" borderId="3" xfId="0" applyFont="1" applyFill="1" applyBorder="1"/>
    <xf numFmtId="0" fontId="1" fillId="6" borderId="7" xfId="0" applyFont="1" applyFill="1" applyBorder="1"/>
    <xf numFmtId="0" fontId="4" fillId="17" borderId="3" xfId="0" applyFont="1" applyFill="1" applyBorder="1"/>
    <xf numFmtId="0" fontId="1" fillId="17" borderId="6" xfId="0" applyFont="1" applyFill="1" applyBorder="1"/>
    <xf numFmtId="0" fontId="1" fillId="17" borderId="7" xfId="0" applyFont="1" applyFill="1" applyBorder="1"/>
    <xf numFmtId="0" fontId="1" fillId="17" borderId="10" xfId="0" applyFont="1" applyFill="1" applyBorder="1"/>
    <xf numFmtId="0" fontId="7" fillId="0" borderId="13" xfId="0" applyFont="1" applyBorder="1"/>
    <xf numFmtId="0" fontId="7" fillId="0" borderId="14" xfId="0" applyFont="1" applyBorder="1"/>
    <xf numFmtId="0" fontId="1" fillId="17" borderId="3" xfId="0" applyFont="1" applyFill="1" applyBorder="1"/>
    <xf numFmtId="0" fontId="7" fillId="0" borderId="15" xfId="0" applyFont="1" applyBorder="1"/>
    <xf numFmtId="0" fontId="7" fillId="0" borderId="16" xfId="0" applyFont="1" applyBorder="1"/>
    <xf numFmtId="0" fontId="1" fillId="9" borderId="12" xfId="0" applyFont="1" applyFill="1" applyBorder="1" applyAlignment="1">
      <alignment vertical="top"/>
    </xf>
    <xf numFmtId="0" fontId="1" fillId="9" borderId="17" xfId="0" applyFont="1" applyFill="1" applyBorder="1" applyAlignment="1">
      <alignment vertical="top"/>
    </xf>
    <xf numFmtId="0" fontId="1" fillId="0" borderId="0" xfId="0" applyFont="1"/>
    <xf numFmtId="0" fontId="1" fillId="16" borderId="18" xfId="0" applyFont="1" applyFill="1" applyBorder="1" applyAlignment="1">
      <alignment vertical="top"/>
    </xf>
    <xf numFmtId="0" fontId="1" fillId="0" borderId="19" xfId="0" applyFont="1" applyBorder="1" applyAlignment="1">
      <alignment horizontal="right" vertical="top"/>
    </xf>
    <xf numFmtId="0" fontId="1" fillId="11" borderId="18" xfId="0" applyFont="1" applyFill="1" applyBorder="1" applyAlignment="1">
      <alignment vertical="top"/>
    </xf>
    <xf numFmtId="0" fontId="1" fillId="11" borderId="3" xfId="0" applyFont="1" applyFill="1" applyBorder="1" applyAlignment="1">
      <alignment vertical="top"/>
    </xf>
    <xf numFmtId="0" fontId="1" fillId="10" borderId="18" xfId="0" applyFont="1" applyFill="1" applyBorder="1" applyAlignment="1">
      <alignment vertical="top" wrapText="1"/>
    </xf>
    <xf numFmtId="0" fontId="1" fillId="10" borderId="3" xfId="0" applyFont="1" applyFill="1" applyBorder="1" applyAlignment="1">
      <alignment vertical="top" wrapText="1"/>
    </xf>
    <xf numFmtId="0" fontId="1" fillId="10" borderId="3" xfId="0" applyFont="1" applyFill="1" applyBorder="1" applyAlignment="1">
      <alignment horizontal="left" vertical="top"/>
    </xf>
    <xf numFmtId="0" fontId="1" fillId="18" borderId="20" xfId="0" applyFont="1" applyFill="1" applyBorder="1" applyAlignment="1">
      <alignment vertical="top" wrapText="1"/>
    </xf>
    <xf numFmtId="0" fontId="1" fillId="0" borderId="21" xfId="0" applyFont="1" applyBorder="1" applyAlignment="1">
      <alignment horizontal="right" vertical="top"/>
    </xf>
    <xf numFmtId="0" fontId="1" fillId="19" borderId="3" xfId="0" applyFont="1" applyFill="1" applyBorder="1"/>
    <xf numFmtId="0" fontId="1" fillId="10" borderId="3" xfId="0" applyFont="1" applyFill="1" applyBorder="1"/>
    <xf numFmtId="0" fontId="1" fillId="0" borderId="0" xfId="0" applyFont="1" applyAlignment="1">
      <alignment vertical="top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8" fillId="0" borderId="3" xfId="1"/>
    <xf numFmtId="0" fontId="9" fillId="0" borderId="3" xfId="1" applyFont="1"/>
    <xf numFmtId="0" fontId="10" fillId="20" borderId="22" xfId="1" applyFont="1" applyFill="1" applyBorder="1" applyAlignment="1">
      <alignment horizontal="center"/>
    </xf>
    <xf numFmtId="0" fontId="10" fillId="0" borderId="23" xfId="1" applyFont="1" applyBorder="1"/>
    <xf numFmtId="0" fontId="10" fillId="21" borderId="24" xfId="1" applyFont="1" applyFill="1" applyBorder="1" applyAlignment="1">
      <alignment horizontal="center"/>
    </xf>
    <xf numFmtId="0" fontId="10" fillId="22" borderId="24" xfId="1" applyFont="1" applyFill="1" applyBorder="1" applyAlignment="1">
      <alignment horizontal="center"/>
    </xf>
    <xf numFmtId="0" fontId="10" fillId="23" borderId="24" xfId="1" applyFont="1" applyFill="1" applyBorder="1" applyAlignment="1">
      <alignment horizontal="center"/>
    </xf>
    <xf numFmtId="0" fontId="10" fillId="20" borderId="24" xfId="1" applyFont="1" applyFill="1" applyBorder="1" applyAlignment="1">
      <alignment horizontal="center"/>
    </xf>
    <xf numFmtId="0" fontId="10" fillId="24" borderId="24" xfId="1" applyFont="1" applyFill="1" applyBorder="1" applyAlignment="1">
      <alignment horizontal="center"/>
    </xf>
    <xf numFmtId="0" fontId="10" fillId="25" borderId="3" xfId="1" applyFont="1" applyFill="1" applyAlignment="1">
      <alignment horizontal="center"/>
    </xf>
    <xf numFmtId="0" fontId="8" fillId="0" borderId="3" xfId="1"/>
    <xf numFmtId="0" fontId="10" fillId="26" borderId="3" xfId="1" applyFont="1" applyFill="1" applyAlignment="1">
      <alignment horizontal="center"/>
    </xf>
    <xf numFmtId="0" fontId="10" fillId="25" borderId="3" xfId="1" applyFont="1" applyFill="1" applyAlignment="1">
      <alignment horizontal="center"/>
    </xf>
    <xf numFmtId="0" fontId="10" fillId="26" borderId="3" xfId="1" applyFont="1" applyFill="1" applyAlignment="1">
      <alignment horizontal="center"/>
    </xf>
    <xf numFmtId="0" fontId="8" fillId="0" borderId="3" xfId="1" applyAlignment="1">
      <alignment horizontal="center"/>
    </xf>
    <xf numFmtId="0" fontId="9" fillId="0" borderId="3" xfId="1" applyFont="1" applyAlignment="1">
      <alignment horizontal="center"/>
    </xf>
    <xf numFmtId="0" fontId="10" fillId="0" borderId="3" xfId="1" applyFont="1" applyAlignment="1">
      <alignment horizontal="center"/>
    </xf>
  </cellXfs>
  <cellStyles count="2">
    <cellStyle name="Normal" xfId="0" builtinId="0"/>
    <cellStyle name="Normal 2" xfId="1" xr:uid="{0598D131-C5CF-4F63-ACB0-0B6472DC91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ndika\Documents\GitHub\TFG\Memoria\Ejercicio%20Planning2026.xlsx" TargetMode="External"/><Relationship Id="rId1" Type="http://schemas.openxmlformats.org/officeDocument/2006/relationships/externalLinkPath" Target="Ejercicio%20Planning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ning"/>
    </sheetNames>
    <sheetDataSet>
      <sheetData sheetId="0">
        <row r="6">
          <cell r="B6" t="str">
            <v>Con.Jugador</v>
          </cell>
          <cell r="C6" t="str">
            <v>Con VS</v>
          </cell>
          <cell r="D6" t="str">
            <v>Con EN1+EN2</v>
          </cell>
          <cell r="E6" t="str">
            <v>Con EN3+EN4</v>
          </cell>
          <cell r="F6" t="str">
            <v>Ep1 CON</v>
          </cell>
          <cell r="G6" t="str">
            <v>Con Ep2</v>
          </cell>
          <cell r="H6" t="str">
            <v>Con EN5+EN6</v>
          </cell>
          <cell r="I6" t="str">
            <v>Con Ep3</v>
          </cell>
          <cell r="J6" t="str">
            <v>Con EN7</v>
          </cell>
          <cell r="K6" t="str">
            <v>Con Ep4</v>
          </cell>
          <cell r="L6" t="str">
            <v>Con Ep5</v>
          </cell>
          <cell r="M6" t="str">
            <v>Con Ep6</v>
          </cell>
          <cell r="N6" t="str">
            <v>Con Ep7</v>
          </cell>
          <cell r="O6" t="str">
            <v>vacaciones</v>
          </cell>
          <cell r="P6" t="str">
            <v>vacaciones</v>
          </cell>
          <cell r="Q6" t="str">
            <v>buffer</v>
          </cell>
        </row>
        <row r="7">
          <cell r="C7" t="str">
            <v>Player</v>
          </cell>
          <cell r="D7" t="str">
            <v>Player, II</v>
          </cell>
          <cell r="E7" t="str">
            <v>Mod EN1</v>
          </cell>
          <cell r="F7" t="str">
            <v>Mod EN2</v>
          </cell>
          <cell r="G7" t="str">
            <v>Mod EN3</v>
          </cell>
          <cell r="H7" t="str">
            <v>Mod EN4</v>
          </cell>
          <cell r="I7" t="str">
            <v>Mod EN5</v>
          </cell>
          <cell r="J7" t="str">
            <v>Mod EN6</v>
          </cell>
          <cell r="K7" t="str">
            <v>Mod EN7</v>
          </cell>
          <cell r="L7" t="str">
            <v>vacaciones</v>
          </cell>
          <cell r="M7" t="str">
            <v>vacaciones</v>
          </cell>
          <cell r="N7" t="str">
            <v>Marketing</v>
          </cell>
          <cell r="O7" t="str">
            <v>Marketing,II</v>
          </cell>
          <cell r="P7" t="str">
            <v>buffer</v>
          </cell>
          <cell r="Q7" t="str">
            <v>&lt;--</v>
          </cell>
          <cell r="R7" t="str">
            <v>&lt;--</v>
          </cell>
          <cell r="S7" t="str">
            <v>&lt;--</v>
          </cell>
          <cell r="T7" t="str">
            <v>polish/bug fixing</v>
          </cell>
          <cell r="U7" t="str">
            <v>polish/bug fixing</v>
          </cell>
          <cell r="V7" t="str">
            <v>support</v>
          </cell>
          <cell r="W7" t="str">
            <v>&lt;--</v>
          </cell>
          <cell r="X7" t="str">
            <v>&lt;--</v>
          </cell>
          <cell r="Y7" t="str">
            <v>&lt;--</v>
          </cell>
          <cell r="Z7" t="str">
            <v>&lt;--</v>
          </cell>
        </row>
        <row r="8">
          <cell r="E8" t="str">
            <v>Anm Player</v>
          </cell>
          <cell r="F8" t="str">
            <v>Anm EN1</v>
          </cell>
          <cell r="G8" t="str">
            <v>Anm EN2</v>
          </cell>
          <cell r="H8" t="str">
            <v>Anm EN3</v>
          </cell>
          <cell r="I8" t="str">
            <v>Anm EN4</v>
          </cell>
          <cell r="J8" t="str">
            <v>Anm EN5</v>
          </cell>
          <cell r="K8" t="str">
            <v>Anm EN6</v>
          </cell>
          <cell r="L8" t="str">
            <v>Anm EN7</v>
          </cell>
          <cell r="M8" t="str">
            <v>vacaciones</v>
          </cell>
          <cell r="N8" t="str">
            <v>vacaciones</v>
          </cell>
          <cell r="O8" t="str">
            <v>buffer</v>
          </cell>
        </row>
        <row r="11">
          <cell r="B11" t="str">
            <v>gdd draft</v>
          </cell>
          <cell r="C11" t="str">
            <v>gdd final</v>
          </cell>
          <cell r="D11" t="str">
            <v>Metricas</v>
          </cell>
          <cell r="E11" t="str">
            <v>Playground</v>
          </cell>
          <cell r="F11" t="str">
            <v>Dis- Mec1</v>
          </cell>
          <cell r="G11" t="str">
            <v>Ep1 FUN</v>
          </cell>
          <cell r="H11" t="str">
            <v>Dis- Mec2</v>
          </cell>
          <cell r="I11" t="str">
            <v>Dis- Mec3</v>
          </cell>
          <cell r="J11" t="str">
            <v>Dis- Mec5</v>
          </cell>
          <cell r="K11" t="str">
            <v>Dis- Mec6</v>
          </cell>
          <cell r="L11" t="str">
            <v>Dis Puzzle2</v>
          </cell>
          <cell r="M11" t="str">
            <v>Dis Puzzle3</v>
          </cell>
          <cell r="N11" t="str">
            <v>Dis Puzzle4</v>
          </cell>
          <cell r="O11" t="str">
            <v>Play-testing</v>
          </cell>
          <cell r="P11" t="str">
            <v>Vacaciones</v>
          </cell>
          <cell r="Q11" t="str">
            <v>Vacaciones</v>
          </cell>
          <cell r="R11" t="str">
            <v>buffer</v>
          </cell>
          <cell r="S11" t="str">
            <v>buffer</v>
          </cell>
          <cell r="T11" t="str">
            <v>polish/bug fixing</v>
          </cell>
          <cell r="U11" t="str">
            <v>polish/bug fixing</v>
          </cell>
          <cell r="V11" t="str">
            <v>support</v>
          </cell>
          <cell r="W11" t="str">
            <v>&lt;--</v>
          </cell>
          <cell r="X11" t="str">
            <v>&lt;--</v>
          </cell>
          <cell r="Y11" t="str">
            <v>&lt;--</v>
          </cell>
          <cell r="Z11" t="str">
            <v>&lt;--</v>
          </cell>
        </row>
        <row r="12">
          <cell r="E12" t="str">
            <v>VS Fun</v>
          </cell>
          <cell r="F12" t="str">
            <v>script draft</v>
          </cell>
          <cell r="G12" t="str">
            <v>script final</v>
          </cell>
          <cell r="H12" t="str">
            <v>Ep2 FUN</v>
          </cell>
          <cell r="I12" t="str">
            <v>Dis- Mec4</v>
          </cell>
          <cell r="J12" t="str">
            <v>Ep3 FUN</v>
          </cell>
          <cell r="K12" t="str">
            <v>Dis Puzzle1</v>
          </cell>
          <cell r="L12" t="str">
            <v>Ep4 FUN</v>
          </cell>
          <cell r="M12" t="str">
            <v>Ep5 FUN</v>
          </cell>
          <cell r="N12" t="str">
            <v>Ep6 FUN</v>
          </cell>
          <cell r="O12" t="str">
            <v>Ep7 FUN</v>
          </cell>
          <cell r="P12" t="str">
            <v>Play-testing</v>
          </cell>
          <cell r="Q12" t="str">
            <v>Vacaciones</v>
          </cell>
          <cell r="R12" t="str">
            <v>Vacaciones</v>
          </cell>
          <cell r="S12" t="str">
            <v>buffer</v>
          </cell>
          <cell r="T12" t="str">
            <v>polish/bug fixing</v>
          </cell>
          <cell r="U12" t="str">
            <v>polish/bug fixing</v>
          </cell>
        </row>
        <row r="15">
          <cell r="E15" t="str">
            <v>Camara</v>
          </cell>
          <cell r="F15" t="str">
            <v>MecVS</v>
          </cell>
          <cell r="G15" t="str">
            <v>Mec1</v>
          </cell>
          <cell r="H15" t="str">
            <v>Vacaciones</v>
          </cell>
          <cell r="I15" t="str">
            <v>Vacaciones</v>
          </cell>
          <cell r="J15" t="str">
            <v>Mec2</v>
          </cell>
          <cell r="K15" t="str">
            <v>Mec3</v>
          </cell>
          <cell r="L15" t="str">
            <v>Mec4</v>
          </cell>
          <cell r="M15" t="str">
            <v>Mec5</v>
          </cell>
          <cell r="N15" t="str">
            <v>Mec6</v>
          </cell>
          <cell r="O15" t="str">
            <v>Puzz1</v>
          </cell>
          <cell r="P15" t="str">
            <v>Puzz2</v>
          </cell>
          <cell r="Q15" t="str">
            <v>Puzz3</v>
          </cell>
          <cell r="R15" t="str">
            <v>Xbox XR</v>
          </cell>
          <cell r="S15" t="str">
            <v>buffer</v>
          </cell>
          <cell r="T15" t="str">
            <v>polish/bug fixing</v>
          </cell>
          <cell r="U15" t="str">
            <v>polish/bug fixing</v>
          </cell>
          <cell r="V15" t="str">
            <v>support</v>
          </cell>
          <cell r="W15" t="str">
            <v>&lt;--</v>
          </cell>
          <cell r="X15" t="str">
            <v>&lt;--</v>
          </cell>
          <cell r="Y15" t="str">
            <v>&lt;--</v>
          </cell>
          <cell r="Z15" t="str">
            <v>&lt;--</v>
          </cell>
        </row>
        <row r="16">
          <cell r="Q16" t="str">
            <v>Puzz4</v>
          </cell>
          <cell r="R16" t="str">
            <v>PS4 TRC</v>
          </cell>
          <cell r="S16" t="str">
            <v>buffer</v>
          </cell>
          <cell r="T16" t="str">
            <v>polish/bug fixing</v>
          </cell>
          <cell r="U16" t="str">
            <v>polish/bug fixing</v>
          </cell>
        </row>
        <row r="18">
          <cell r="F18" t="str">
            <v>VS Par</v>
          </cell>
          <cell r="G18" t="str">
            <v>VS POL</v>
          </cell>
          <cell r="H18" t="str">
            <v>Ep1 PAR</v>
          </cell>
          <cell r="I18" t="str">
            <v>Ep2 PAR</v>
          </cell>
          <cell r="J18" t="str">
            <v>Ep1 POL</v>
          </cell>
          <cell r="K18" t="str">
            <v>Ep3 PAR</v>
          </cell>
          <cell r="L18" t="str">
            <v>Ep2 POL</v>
          </cell>
          <cell r="M18" t="str">
            <v>Ep4 PAR</v>
          </cell>
          <cell r="N18" t="str">
            <v>Vacaciones</v>
          </cell>
          <cell r="O18" t="str">
            <v>Vacaciones</v>
          </cell>
          <cell r="P18" t="str">
            <v>Ep5 PAR</v>
          </cell>
          <cell r="Q18" t="str">
            <v>Ep6 PAR</v>
          </cell>
          <cell r="R18" t="str">
            <v>Ep7 PAR</v>
          </cell>
          <cell r="S18" t="str">
            <v>buffer</v>
          </cell>
          <cell r="T18" t="str">
            <v>polish/bug fixing</v>
          </cell>
          <cell r="U18" t="str">
            <v>polish/bug fixing</v>
          </cell>
          <cell r="V18" t="str">
            <v>support</v>
          </cell>
          <cell r="W18" t="str">
            <v>&lt;--</v>
          </cell>
          <cell r="X18" t="str">
            <v>&lt;--</v>
          </cell>
          <cell r="Y18" t="str">
            <v>&lt;--</v>
          </cell>
          <cell r="Z18" t="str">
            <v>&lt;--</v>
          </cell>
        </row>
        <row r="19">
          <cell r="N19" t="str">
            <v>Ep3 POL</v>
          </cell>
          <cell r="O19" t="str">
            <v>Ep4 POL</v>
          </cell>
          <cell r="P19" t="str">
            <v>Ep5 POL</v>
          </cell>
          <cell r="Q19" t="str">
            <v>Ep6 POL</v>
          </cell>
          <cell r="R19" t="str">
            <v>Ep7 POL</v>
          </cell>
          <cell r="S19" t="str">
            <v>buffer</v>
          </cell>
          <cell r="T19" t="str">
            <v>polish/bug fixing</v>
          </cell>
          <cell r="U19" t="str">
            <v>polish/bug fixing</v>
          </cell>
        </row>
        <row r="21">
          <cell r="J21" t="str">
            <v>VS SONO</v>
          </cell>
          <cell r="K21" t="str">
            <v>Ep1 Sono</v>
          </cell>
          <cell r="L21" t="str">
            <v>Ep2 Sono</v>
          </cell>
          <cell r="M21" t="str">
            <v>Ep3 Sono</v>
          </cell>
          <cell r="N21" t="str">
            <v>Ep4 Sono</v>
          </cell>
          <cell r="O21" t="str">
            <v>Vacaciones</v>
          </cell>
          <cell r="P21" t="str">
            <v>Ep5 Sono</v>
          </cell>
          <cell r="Q21" t="str">
            <v>Ep6 Sono</v>
          </cell>
          <cell r="R21" t="str">
            <v>Ep7 Sono</v>
          </cell>
          <cell r="S21" t="str">
            <v>buffer</v>
          </cell>
          <cell r="T21" t="str">
            <v>polish/bug fixing</v>
          </cell>
          <cell r="U21" t="str">
            <v>polish/bug fixing</v>
          </cell>
          <cell r="V21" t="str">
            <v>support</v>
          </cell>
          <cell r="W21" t="str">
            <v>&lt;--</v>
          </cell>
          <cell r="X21" t="str">
            <v>&lt;--</v>
          </cell>
          <cell r="Y21" t="str">
            <v>&lt;--</v>
          </cell>
          <cell r="Z21" t="str">
            <v>&lt;--</v>
          </cell>
        </row>
        <row r="22">
          <cell r="J22" t="str">
            <v>VS VFX</v>
          </cell>
          <cell r="K22" t="str">
            <v>Ep1 Vfx</v>
          </cell>
          <cell r="L22" t="str">
            <v>Ep2 Vfx</v>
          </cell>
          <cell r="M22" t="str">
            <v>Ep3 Vfx</v>
          </cell>
          <cell r="N22" t="str">
            <v>Ep4 Vfx</v>
          </cell>
          <cell r="O22" t="str">
            <v>Vacaciones</v>
          </cell>
          <cell r="P22" t="str">
            <v>Ep5 Vfx</v>
          </cell>
          <cell r="Q22" t="str">
            <v>Ep6 Vfx</v>
          </cell>
          <cell r="R22" t="str">
            <v>Ep7 Vfx</v>
          </cell>
          <cell r="S22" t="str">
            <v>buffer</v>
          </cell>
          <cell r="T22" t="str">
            <v>polish/bug fixing</v>
          </cell>
          <cell r="U22" t="str">
            <v>polish/bug fixing</v>
          </cell>
          <cell r="V22" t="str">
            <v>support</v>
          </cell>
          <cell r="W22" t="str">
            <v>&lt;--</v>
          </cell>
          <cell r="X22" t="str">
            <v>&lt;--</v>
          </cell>
          <cell r="Y22" t="str">
            <v>&lt;--</v>
          </cell>
          <cell r="Z22" t="str">
            <v>&lt;--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3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H27" sqref="H27"/>
    </sheetView>
  </sheetViews>
  <sheetFormatPr baseColWidth="10" defaultColWidth="14.42578125" defaultRowHeight="15" customHeight="1" x14ac:dyDescent="0.25"/>
  <cols>
    <col min="1" max="1" width="16.85546875" customWidth="1"/>
    <col min="2" max="13" width="10.7109375" customWidth="1"/>
    <col min="14" max="14" width="12.85546875" customWidth="1"/>
    <col min="15" max="15" width="13.140625" customWidth="1"/>
    <col min="16" max="21" width="10.7109375" customWidth="1"/>
    <col min="22" max="22" width="11.42578125" customWidth="1"/>
    <col min="23" max="23" width="6.7109375" customWidth="1"/>
  </cols>
  <sheetData>
    <row r="1" spans="1:23" ht="14.25" customHeight="1" x14ac:dyDescent="0.25">
      <c r="B1" s="62" t="s">
        <v>0</v>
      </c>
      <c r="C1" s="63"/>
      <c r="D1" s="64" t="s">
        <v>1</v>
      </c>
      <c r="E1" s="63"/>
      <c r="F1" s="63"/>
      <c r="G1" s="63"/>
      <c r="H1" s="62" t="s">
        <v>2</v>
      </c>
      <c r="I1" s="62"/>
      <c r="J1" s="62"/>
      <c r="K1" s="62"/>
      <c r="L1" s="62"/>
      <c r="M1" s="62"/>
      <c r="N1" s="62"/>
      <c r="O1" s="62"/>
      <c r="P1" s="62"/>
      <c r="Q1" s="62"/>
      <c r="R1" s="65" t="s">
        <v>3</v>
      </c>
      <c r="S1" s="65"/>
      <c r="T1" s="66" t="s">
        <v>4</v>
      </c>
      <c r="U1" s="63"/>
      <c r="V1" s="1" t="s">
        <v>5</v>
      </c>
    </row>
    <row r="2" spans="1:23" ht="14.25" customHeight="1" x14ac:dyDescent="0.25">
      <c r="B2" s="2" t="s">
        <v>6</v>
      </c>
      <c r="C2" s="2" t="s">
        <v>7</v>
      </c>
      <c r="D2" s="3" t="s">
        <v>8</v>
      </c>
      <c r="E2" s="2" t="s">
        <v>9</v>
      </c>
      <c r="F2" s="2" t="s">
        <v>10</v>
      </c>
      <c r="G2" s="2" t="s">
        <v>11</v>
      </c>
      <c r="H2" s="3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  <c r="T2" s="2" t="s">
        <v>24</v>
      </c>
      <c r="U2" s="2" t="s">
        <v>25</v>
      </c>
      <c r="V2" s="4"/>
    </row>
    <row r="3" spans="1:23" ht="14.25" customHeight="1" x14ac:dyDescent="0.25">
      <c r="D3" s="3"/>
      <c r="H3" s="3"/>
      <c r="R3" s="3" t="s">
        <v>26</v>
      </c>
      <c r="S3" s="2" t="s">
        <v>27</v>
      </c>
      <c r="T3" s="3"/>
      <c r="V3" s="4"/>
    </row>
    <row r="4" spans="1:23" ht="14.25" customHeight="1" x14ac:dyDescent="0.25">
      <c r="A4" s="5" t="s">
        <v>28</v>
      </c>
      <c r="B4" s="6"/>
      <c r="C4" s="6"/>
      <c r="D4" s="7"/>
      <c r="E4" s="6"/>
      <c r="F4" s="6"/>
      <c r="G4" s="6"/>
      <c r="H4" s="7"/>
      <c r="I4" s="6"/>
      <c r="J4" s="6"/>
      <c r="K4" s="6"/>
      <c r="L4" s="6"/>
      <c r="M4" s="6"/>
      <c r="N4" s="6"/>
      <c r="O4" s="6"/>
      <c r="P4" s="6"/>
      <c r="Q4" s="6"/>
      <c r="R4" s="7"/>
      <c r="S4" s="6"/>
      <c r="T4" s="7"/>
      <c r="U4" s="6"/>
      <c r="V4" s="4"/>
      <c r="W4" s="8"/>
    </row>
    <row r="5" spans="1:23" ht="14.25" customHeight="1" x14ac:dyDescent="0.25">
      <c r="A5" s="9" t="s">
        <v>29</v>
      </c>
      <c r="B5" s="2" t="s">
        <v>30</v>
      </c>
      <c r="C5" s="2" t="s">
        <v>31</v>
      </c>
      <c r="D5" s="3" t="s">
        <v>32</v>
      </c>
      <c r="E5" s="2" t="s">
        <v>33</v>
      </c>
      <c r="F5" s="2" t="s">
        <v>34</v>
      </c>
      <c r="G5" s="2" t="s">
        <v>35</v>
      </c>
      <c r="H5" s="10" t="s">
        <v>36</v>
      </c>
      <c r="I5" s="10" t="s">
        <v>37</v>
      </c>
      <c r="J5" s="10" t="s">
        <v>38</v>
      </c>
      <c r="K5" s="10" t="s">
        <v>39</v>
      </c>
      <c r="L5" s="10" t="s">
        <v>40</v>
      </c>
      <c r="M5" s="10" t="s">
        <v>41</v>
      </c>
      <c r="N5" s="10" t="s">
        <v>42</v>
      </c>
      <c r="O5" s="10" t="s">
        <v>43</v>
      </c>
      <c r="P5" s="10" t="s">
        <v>44</v>
      </c>
      <c r="R5" s="3" t="s">
        <v>45</v>
      </c>
      <c r="S5" s="2" t="s">
        <v>46</v>
      </c>
      <c r="T5" s="3" t="s">
        <v>47</v>
      </c>
      <c r="U5" s="2" t="s">
        <v>31</v>
      </c>
      <c r="V5" s="4"/>
      <c r="W5" s="2">
        <f>COUNTIF(B5:U5,"*")</f>
        <v>19</v>
      </c>
    </row>
    <row r="6" spans="1:23" ht="14.25" customHeight="1" thickBot="1" x14ac:dyDescent="0.3">
      <c r="A6" s="5" t="s">
        <v>48</v>
      </c>
      <c r="B6" s="6"/>
      <c r="C6" s="6"/>
      <c r="D6" s="7"/>
      <c r="E6" s="6"/>
      <c r="F6" s="6"/>
      <c r="G6" s="6"/>
      <c r="H6" s="7"/>
      <c r="I6" s="6"/>
      <c r="J6" s="6"/>
      <c r="K6" s="6"/>
      <c r="L6" s="6"/>
      <c r="M6" s="6"/>
      <c r="N6" s="6"/>
      <c r="O6" s="6"/>
      <c r="P6" s="6"/>
      <c r="Q6" s="6"/>
      <c r="R6" s="7"/>
      <c r="S6" s="6"/>
      <c r="T6" s="7"/>
      <c r="U6" s="6"/>
      <c r="V6" s="4"/>
      <c r="W6" s="8"/>
    </row>
    <row r="7" spans="1:23" ht="14.25" customHeight="1" thickBot="1" x14ac:dyDescent="0.3">
      <c r="A7" s="11" t="s">
        <v>49</v>
      </c>
      <c r="B7" s="2" t="s">
        <v>50</v>
      </c>
      <c r="C7" s="2" t="s">
        <v>50</v>
      </c>
      <c r="D7" s="3" t="s">
        <v>50</v>
      </c>
      <c r="E7" s="2" t="s">
        <v>50</v>
      </c>
      <c r="F7" s="12" t="s">
        <v>51</v>
      </c>
      <c r="G7" s="13" t="s">
        <v>31</v>
      </c>
      <c r="H7" s="14" t="s">
        <v>31</v>
      </c>
      <c r="I7" s="13" t="s">
        <v>31</v>
      </c>
      <c r="J7" s="13" t="s">
        <v>31</v>
      </c>
      <c r="K7" s="13" t="s">
        <v>31</v>
      </c>
      <c r="L7" s="13" t="s">
        <v>31</v>
      </c>
      <c r="M7" s="13" t="s">
        <v>31</v>
      </c>
      <c r="N7" s="13" t="s">
        <v>31</v>
      </c>
      <c r="O7" s="13" t="s">
        <v>31</v>
      </c>
      <c r="P7" s="13" t="s">
        <v>31</v>
      </c>
      <c r="R7" s="3" t="s">
        <v>45</v>
      </c>
      <c r="S7" s="2" t="s">
        <v>46</v>
      </c>
      <c r="T7" s="3" t="s">
        <v>47</v>
      </c>
      <c r="U7" s="2" t="s">
        <v>31</v>
      </c>
      <c r="V7" s="4"/>
      <c r="W7" s="2">
        <f>COUNTIF(B7:U7,"*")</f>
        <v>19</v>
      </c>
    </row>
    <row r="8" spans="1:23" ht="14.25" customHeight="1" thickBot="1" x14ac:dyDescent="0.3">
      <c r="A8" s="20" t="s">
        <v>58</v>
      </c>
      <c r="B8" s="15"/>
      <c r="C8" s="15"/>
      <c r="D8" s="17"/>
      <c r="E8" s="15"/>
      <c r="F8" s="15"/>
      <c r="G8" s="15"/>
      <c r="H8" s="21" t="s">
        <v>59</v>
      </c>
      <c r="I8" s="22" t="s">
        <v>60</v>
      </c>
      <c r="J8" s="22" t="s">
        <v>61</v>
      </c>
      <c r="K8" s="22" t="s">
        <v>62</v>
      </c>
      <c r="L8" s="23" t="s">
        <v>63</v>
      </c>
      <c r="M8" s="24" t="s">
        <v>31</v>
      </c>
      <c r="N8" s="24" t="s">
        <v>31</v>
      </c>
      <c r="O8" s="24" t="s">
        <v>31</v>
      </c>
      <c r="P8" s="25" t="s">
        <v>64</v>
      </c>
      <c r="R8" s="3" t="s">
        <v>45</v>
      </c>
      <c r="S8" s="2" t="s">
        <v>46</v>
      </c>
      <c r="T8" s="17"/>
      <c r="U8" s="15"/>
      <c r="V8" s="4"/>
      <c r="W8" s="2">
        <f>COUNTIF(B8:U8,"*")</f>
        <v>11</v>
      </c>
    </row>
    <row r="9" spans="1:23" ht="14.25" customHeight="1" thickBot="1" x14ac:dyDescent="0.3">
      <c r="A9" s="5" t="s">
        <v>66</v>
      </c>
      <c r="B9" s="28"/>
      <c r="C9" s="28"/>
      <c r="D9" s="29"/>
      <c r="E9" s="28"/>
      <c r="F9" s="28"/>
      <c r="G9" s="28"/>
      <c r="H9" s="29"/>
      <c r="I9" s="28"/>
      <c r="J9" s="28"/>
      <c r="K9" s="28"/>
      <c r="L9" s="28"/>
      <c r="M9" s="28"/>
      <c r="N9" s="28"/>
      <c r="O9" s="28"/>
      <c r="P9" s="28"/>
      <c r="Q9" s="28"/>
      <c r="R9" s="29"/>
      <c r="S9" s="28"/>
      <c r="T9" s="29"/>
      <c r="U9" s="28"/>
      <c r="V9" s="4"/>
      <c r="W9" s="30"/>
    </row>
    <row r="10" spans="1:23" ht="14.25" customHeight="1" thickBot="1" x14ac:dyDescent="0.3">
      <c r="A10" s="31" t="s">
        <v>67</v>
      </c>
      <c r="B10" s="15"/>
      <c r="C10" s="15"/>
      <c r="D10" s="32" t="s">
        <v>68</v>
      </c>
      <c r="E10" s="33" t="s">
        <v>31</v>
      </c>
      <c r="F10" s="34" t="s">
        <v>69</v>
      </c>
      <c r="G10" s="35" t="s">
        <v>31</v>
      </c>
      <c r="H10" s="36" t="s">
        <v>70</v>
      </c>
      <c r="I10" s="36" t="s">
        <v>71</v>
      </c>
      <c r="J10" s="36" t="s">
        <v>72</v>
      </c>
      <c r="K10" s="36" t="s">
        <v>73</v>
      </c>
      <c r="L10" s="36" t="s">
        <v>60</v>
      </c>
      <c r="M10" s="36" t="s">
        <v>61</v>
      </c>
      <c r="N10" s="36" t="s">
        <v>74</v>
      </c>
      <c r="O10" s="32" t="s">
        <v>75</v>
      </c>
      <c r="P10" s="37" t="s">
        <v>31</v>
      </c>
      <c r="R10" s="3" t="s">
        <v>45</v>
      </c>
      <c r="S10" s="2" t="s">
        <v>46</v>
      </c>
      <c r="T10" s="3" t="s">
        <v>47</v>
      </c>
      <c r="U10" s="2" t="s">
        <v>31</v>
      </c>
      <c r="V10" s="4"/>
      <c r="W10" s="2">
        <f>COUNTIF(B10:U10,"*")</f>
        <v>17</v>
      </c>
    </row>
    <row r="11" spans="1:23" ht="14.25" customHeight="1" thickBot="1" x14ac:dyDescent="0.3">
      <c r="A11" s="31" t="s">
        <v>76</v>
      </c>
      <c r="B11" s="15"/>
      <c r="C11" s="15"/>
      <c r="D11" s="17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32" t="s">
        <v>77</v>
      </c>
      <c r="P11" s="37" t="s">
        <v>31</v>
      </c>
      <c r="R11" s="3" t="s">
        <v>45</v>
      </c>
      <c r="S11" s="2" t="s">
        <v>46</v>
      </c>
      <c r="T11" s="17"/>
      <c r="U11" s="15"/>
      <c r="V11" s="4"/>
      <c r="W11" s="2">
        <f>COUNTIF(B11:U11,"*")</f>
        <v>4</v>
      </c>
    </row>
    <row r="12" spans="1:23" ht="14.25" customHeight="1" x14ac:dyDescent="0.25">
      <c r="A12" s="5" t="s">
        <v>78</v>
      </c>
      <c r="B12" s="6"/>
      <c r="C12" s="6"/>
      <c r="D12" s="7"/>
      <c r="E12" s="6"/>
      <c r="F12" s="6"/>
      <c r="G12" s="6"/>
      <c r="H12" s="7"/>
      <c r="I12" s="6"/>
      <c r="J12" s="6"/>
      <c r="K12" s="6"/>
      <c r="L12" s="6"/>
      <c r="M12" s="6"/>
      <c r="N12" s="6"/>
      <c r="O12" s="6"/>
      <c r="P12" s="6"/>
      <c r="Q12" s="6"/>
      <c r="R12" s="7"/>
      <c r="S12" s="6"/>
      <c r="T12" s="7"/>
      <c r="U12" s="6"/>
      <c r="V12" s="4"/>
      <c r="W12" s="8"/>
    </row>
    <row r="13" spans="1:23" ht="14.25" customHeight="1" x14ac:dyDescent="0.25">
      <c r="A13" s="38" t="s">
        <v>79</v>
      </c>
      <c r="B13" s="15"/>
      <c r="C13" s="15"/>
      <c r="D13" s="17"/>
      <c r="E13" s="15"/>
      <c r="F13" s="15"/>
      <c r="G13" s="15"/>
      <c r="H13" s="17"/>
      <c r="I13" s="15"/>
      <c r="J13" s="15"/>
      <c r="K13" s="17"/>
      <c r="L13" s="15"/>
      <c r="M13" s="15"/>
      <c r="N13" s="17"/>
      <c r="O13" s="15"/>
      <c r="P13" s="15"/>
      <c r="R13" s="3" t="s">
        <v>45</v>
      </c>
      <c r="S13" s="2" t="s">
        <v>46</v>
      </c>
      <c r="T13" s="3" t="s">
        <v>47</v>
      </c>
      <c r="U13" s="2" t="s">
        <v>31</v>
      </c>
      <c r="V13" s="4"/>
      <c r="W13" s="2">
        <f>COUNTIF(B13:U13,"*")</f>
        <v>4</v>
      </c>
    </row>
    <row r="14" spans="1:23" ht="14.25" customHeight="1" x14ac:dyDescent="0.25">
      <c r="A14" s="9" t="s">
        <v>2</v>
      </c>
      <c r="B14" s="2" t="s">
        <v>31</v>
      </c>
      <c r="C14" s="2" t="s">
        <v>31</v>
      </c>
      <c r="D14" s="3" t="s">
        <v>31</v>
      </c>
      <c r="E14" s="2" t="s">
        <v>31</v>
      </c>
      <c r="F14" s="2" t="s">
        <v>31</v>
      </c>
      <c r="G14" s="2" t="s">
        <v>31</v>
      </c>
      <c r="H14" s="2" t="s">
        <v>31</v>
      </c>
      <c r="I14" s="2" t="s">
        <v>31</v>
      </c>
      <c r="J14" s="2" t="s">
        <v>31</v>
      </c>
      <c r="K14" s="2" t="s">
        <v>31</v>
      </c>
      <c r="L14" s="2" t="s">
        <v>31</v>
      </c>
      <c r="M14" s="2" t="s">
        <v>31</v>
      </c>
      <c r="N14" s="2" t="s">
        <v>31</v>
      </c>
      <c r="O14" s="2" t="s">
        <v>31</v>
      </c>
      <c r="P14" s="2" t="s">
        <v>31</v>
      </c>
      <c r="R14" s="3" t="s">
        <v>45</v>
      </c>
      <c r="S14" s="2" t="s">
        <v>46</v>
      </c>
      <c r="T14" s="3" t="s">
        <v>47</v>
      </c>
      <c r="U14" s="2" t="s">
        <v>31</v>
      </c>
      <c r="V14" s="4"/>
      <c r="W14" s="2">
        <f>COUNTIF(B14:U14,"*")</f>
        <v>19</v>
      </c>
    </row>
    <row r="15" spans="1:23" ht="14.25" customHeight="1" thickBot="1" x14ac:dyDescent="0.3"/>
    <row r="16" spans="1:23" ht="14.25" customHeight="1" x14ac:dyDescent="0.25">
      <c r="V16" s="42" t="s">
        <v>82</v>
      </c>
      <c r="W16" s="43">
        <f>SUM(W4:W14)</f>
        <v>93</v>
      </c>
    </row>
    <row r="17" spans="1:23" ht="14.25" customHeight="1" thickBot="1" x14ac:dyDescent="0.3">
      <c r="E17" s="44" t="s">
        <v>79</v>
      </c>
      <c r="V17" s="45" t="s">
        <v>83</v>
      </c>
      <c r="W17" s="46">
        <f>W16/4</f>
        <v>23.25</v>
      </c>
    </row>
    <row r="18" spans="1:23" ht="14.25" customHeight="1" x14ac:dyDescent="0.25">
      <c r="A18" s="47" t="s">
        <v>84</v>
      </c>
      <c r="B18" s="48" t="s">
        <v>85</v>
      </c>
      <c r="E18" s="49"/>
    </row>
    <row r="19" spans="1:23" ht="14.25" customHeight="1" x14ac:dyDescent="0.25">
      <c r="A19" s="50" t="s">
        <v>86</v>
      </c>
      <c r="B19" s="51">
        <v>7</v>
      </c>
      <c r="C19" s="36" t="s">
        <v>74</v>
      </c>
      <c r="D19" s="36" t="s">
        <v>70</v>
      </c>
      <c r="E19" s="36" t="s">
        <v>71</v>
      </c>
      <c r="F19" s="36" t="s">
        <v>60</v>
      </c>
      <c r="G19" s="36" t="s">
        <v>72</v>
      </c>
      <c r="H19" s="36" t="s">
        <v>61</v>
      </c>
      <c r="I19" s="36" t="s">
        <v>73</v>
      </c>
    </row>
    <row r="20" spans="1:23" ht="14.25" customHeight="1" x14ac:dyDescent="0.25">
      <c r="A20" s="52" t="s">
        <v>87</v>
      </c>
      <c r="B20" s="51">
        <v>4</v>
      </c>
      <c r="C20" s="53" t="s">
        <v>136</v>
      </c>
      <c r="D20" s="53" t="s">
        <v>137</v>
      </c>
      <c r="E20" s="53" t="s">
        <v>138</v>
      </c>
      <c r="F20" s="53" t="s">
        <v>139</v>
      </c>
    </row>
    <row r="21" spans="1:23" ht="14.25" customHeight="1" x14ac:dyDescent="0.25">
      <c r="A21" s="54" t="s">
        <v>140</v>
      </c>
      <c r="B21" s="51">
        <v>6</v>
      </c>
      <c r="C21" s="55" t="s">
        <v>88</v>
      </c>
      <c r="D21" s="55" t="s">
        <v>89</v>
      </c>
      <c r="E21" s="56" t="s">
        <v>52</v>
      </c>
      <c r="F21" s="56" t="s">
        <v>90</v>
      </c>
      <c r="G21" s="56" t="s">
        <v>54</v>
      </c>
      <c r="H21" s="56" t="s">
        <v>91</v>
      </c>
    </row>
    <row r="22" spans="1:23" ht="14.25" customHeight="1" thickBot="1" x14ac:dyDescent="0.3">
      <c r="A22" s="57" t="s">
        <v>92</v>
      </c>
      <c r="B22" s="58">
        <v>20</v>
      </c>
      <c r="C22" s="2" t="s">
        <v>93</v>
      </c>
    </row>
    <row r="23" spans="1:23" ht="14.25" customHeight="1" x14ac:dyDescent="0.25"/>
    <row r="24" spans="1:23" ht="14.25" customHeight="1" x14ac:dyDescent="0.25"/>
    <row r="25" spans="1:23" ht="14.25" customHeight="1" x14ac:dyDescent="0.25"/>
    <row r="26" spans="1:23" ht="14.25" customHeight="1" thickBot="1" x14ac:dyDescent="0.3">
      <c r="L26" s="2" t="s">
        <v>94</v>
      </c>
    </row>
    <row r="27" spans="1:23" ht="14.25" customHeight="1" thickBot="1" x14ac:dyDescent="0.3">
      <c r="L27" s="12" t="s">
        <v>51</v>
      </c>
      <c r="M27" s="13" t="s">
        <v>31</v>
      </c>
      <c r="N27" s="14" t="s">
        <v>31</v>
      </c>
      <c r="O27" s="13" t="s">
        <v>31</v>
      </c>
      <c r="P27" s="13" t="s">
        <v>31</v>
      </c>
      <c r="Q27" s="13" t="s">
        <v>31</v>
      </c>
      <c r="R27" s="13" t="s">
        <v>31</v>
      </c>
      <c r="S27" s="13" t="s">
        <v>31</v>
      </c>
      <c r="T27" s="13" t="s">
        <v>31</v>
      </c>
      <c r="U27" s="13" t="s">
        <v>31</v>
      </c>
      <c r="V27" s="13" t="s">
        <v>31</v>
      </c>
      <c r="W27" s="13" t="s">
        <v>31</v>
      </c>
    </row>
    <row r="28" spans="1:23" ht="14.25" customHeight="1" thickBot="1" x14ac:dyDescent="0.3">
      <c r="L28" s="12" t="s">
        <v>53</v>
      </c>
      <c r="M28" s="13" t="s">
        <v>31</v>
      </c>
      <c r="N28" s="13" t="s">
        <v>31</v>
      </c>
      <c r="O28" s="16" t="s">
        <v>31</v>
      </c>
      <c r="P28" s="13" t="s">
        <v>57</v>
      </c>
      <c r="Q28" s="13" t="s">
        <v>31</v>
      </c>
      <c r="R28" s="13" t="s">
        <v>31</v>
      </c>
      <c r="S28" s="16" t="s">
        <v>31</v>
      </c>
      <c r="T28" s="59" t="s">
        <v>95</v>
      </c>
    </row>
    <row r="29" spans="1:23" ht="14.25" customHeight="1" thickBot="1" x14ac:dyDescent="0.3">
      <c r="L29" s="12" t="s">
        <v>55</v>
      </c>
      <c r="M29" s="13" t="s">
        <v>31</v>
      </c>
      <c r="N29" s="18" t="s">
        <v>31</v>
      </c>
      <c r="O29" s="18" t="s">
        <v>31</v>
      </c>
      <c r="P29" s="18" t="s">
        <v>31</v>
      </c>
      <c r="Q29" s="19" t="s">
        <v>31</v>
      </c>
    </row>
    <row r="30" spans="1:23" ht="14.25" customHeight="1" thickBot="1" x14ac:dyDescent="0.3">
      <c r="L30" s="14" t="s">
        <v>56</v>
      </c>
      <c r="M30" s="13" t="s">
        <v>31</v>
      </c>
      <c r="N30" s="13" t="s">
        <v>31</v>
      </c>
      <c r="O30" s="13" t="s">
        <v>31</v>
      </c>
      <c r="P30" s="14" t="s">
        <v>31</v>
      </c>
      <c r="Q30" s="16" t="s">
        <v>31</v>
      </c>
    </row>
    <row r="31" spans="1:23" ht="14.25" customHeight="1" x14ac:dyDescent="0.25"/>
    <row r="32" spans="1:23" ht="14.25" customHeight="1" x14ac:dyDescent="0.25"/>
    <row r="33" spans="6:20" ht="14.25" customHeight="1" x14ac:dyDescent="0.25"/>
    <row r="34" spans="6:20" ht="14.25" customHeight="1" thickBot="1" x14ac:dyDescent="0.3">
      <c r="G34" s="60" t="s">
        <v>96</v>
      </c>
    </row>
    <row r="35" spans="6:20" ht="14.25" customHeight="1" thickBot="1" x14ac:dyDescent="0.3">
      <c r="G35" s="23" t="s">
        <v>63</v>
      </c>
      <c r="H35" s="24" t="s">
        <v>31</v>
      </c>
      <c r="I35" s="24" t="s">
        <v>31</v>
      </c>
      <c r="J35" s="24" t="s">
        <v>31</v>
      </c>
      <c r="K35" s="59" t="s">
        <v>97</v>
      </c>
    </row>
    <row r="36" spans="6:20" ht="14.25" customHeight="1" thickBot="1" x14ac:dyDescent="0.3">
      <c r="F36" s="61"/>
      <c r="G36" s="21" t="s">
        <v>59</v>
      </c>
      <c r="H36" s="22" t="s">
        <v>60</v>
      </c>
      <c r="I36" s="22" t="s">
        <v>61</v>
      </c>
      <c r="J36" s="22" t="s">
        <v>62</v>
      </c>
      <c r="K36" s="59" t="s">
        <v>98</v>
      </c>
    </row>
    <row r="37" spans="6:20" ht="14.25" customHeight="1" thickBot="1" x14ac:dyDescent="0.3">
      <c r="F37" s="61"/>
      <c r="G37" s="25" t="s">
        <v>64</v>
      </c>
      <c r="H37" s="26" t="s">
        <v>31</v>
      </c>
      <c r="I37" s="26" t="s">
        <v>31</v>
      </c>
      <c r="J37" s="26" t="s">
        <v>31</v>
      </c>
      <c r="K37" s="27" t="s">
        <v>31</v>
      </c>
      <c r="L37" s="25" t="s">
        <v>65</v>
      </c>
      <c r="M37" s="26" t="s">
        <v>31</v>
      </c>
      <c r="N37" s="26" t="s">
        <v>31</v>
      </c>
      <c r="O37" s="26" t="s">
        <v>31</v>
      </c>
      <c r="P37" s="27" t="s">
        <v>31</v>
      </c>
      <c r="Q37" s="59" t="s">
        <v>99</v>
      </c>
    </row>
    <row r="38" spans="6:20" ht="14.25" customHeight="1" x14ac:dyDescent="0.25">
      <c r="F38" s="61"/>
    </row>
    <row r="39" spans="6:20" ht="14.25" customHeight="1" x14ac:dyDescent="0.25">
      <c r="F39" s="61"/>
      <c r="G39" s="2" t="s">
        <v>100</v>
      </c>
    </row>
    <row r="40" spans="6:20" ht="14.25" customHeight="1" thickBot="1" x14ac:dyDescent="0.3">
      <c r="F40" s="61"/>
      <c r="G40" s="36" t="s">
        <v>74</v>
      </c>
      <c r="H40" s="36" t="s">
        <v>70</v>
      </c>
      <c r="I40" s="36" t="s">
        <v>71</v>
      </c>
      <c r="J40" s="36" t="s">
        <v>60</v>
      </c>
      <c r="K40" s="36" t="s">
        <v>72</v>
      </c>
      <c r="L40" s="36" t="s">
        <v>61</v>
      </c>
      <c r="M40" s="36" t="s">
        <v>73</v>
      </c>
      <c r="N40" s="59" t="s">
        <v>101</v>
      </c>
    </row>
    <row r="41" spans="6:20" ht="14.25" customHeight="1" thickBot="1" x14ac:dyDescent="0.3">
      <c r="F41" s="61"/>
      <c r="G41" s="32" t="s">
        <v>68</v>
      </c>
      <c r="H41" s="33" t="s">
        <v>31</v>
      </c>
      <c r="I41" s="2" t="s">
        <v>102</v>
      </c>
    </row>
    <row r="42" spans="6:20" ht="14.25" customHeight="1" thickBot="1" x14ac:dyDescent="0.3">
      <c r="G42" s="34" t="s">
        <v>69</v>
      </c>
      <c r="H42" s="35" t="s">
        <v>31</v>
      </c>
      <c r="I42" s="2" t="s">
        <v>102</v>
      </c>
    </row>
    <row r="43" spans="6:20" ht="14.25" customHeight="1" thickBot="1" x14ac:dyDescent="0.3">
      <c r="F43" s="61"/>
      <c r="G43" s="32" t="s">
        <v>77</v>
      </c>
      <c r="H43" s="37" t="s">
        <v>31</v>
      </c>
      <c r="I43" s="33" t="s">
        <v>31</v>
      </c>
      <c r="J43" s="59" t="s">
        <v>103</v>
      </c>
    </row>
    <row r="44" spans="6:20" ht="14.25" customHeight="1" thickBot="1" x14ac:dyDescent="0.3">
      <c r="F44" s="61"/>
      <c r="G44" s="32" t="s">
        <v>75</v>
      </c>
      <c r="H44" s="37" t="s">
        <v>31</v>
      </c>
      <c r="I44" s="33" t="s">
        <v>31</v>
      </c>
      <c r="J44" s="59" t="s">
        <v>103</v>
      </c>
      <c r="P44" s="2" t="s">
        <v>104</v>
      </c>
    </row>
    <row r="45" spans="6:20" ht="14.25" customHeight="1" thickBot="1" x14ac:dyDescent="0.3">
      <c r="P45" s="39" t="s">
        <v>80</v>
      </c>
      <c r="Q45" s="40" t="s">
        <v>31</v>
      </c>
      <c r="R45" s="40" t="s">
        <v>31</v>
      </c>
      <c r="S45" s="41" t="s">
        <v>31</v>
      </c>
      <c r="T45" s="59" t="s">
        <v>105</v>
      </c>
    </row>
    <row r="46" spans="6:20" ht="14.25" customHeight="1" x14ac:dyDescent="0.25"/>
    <row r="47" spans="6:20" ht="14.25" customHeight="1" x14ac:dyDescent="0.25"/>
    <row r="48" spans="6:20" ht="14.25" customHeight="1" x14ac:dyDescent="0.25">
      <c r="G48" s="2" t="s">
        <v>81</v>
      </c>
    </row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</sheetData>
  <mergeCells count="5">
    <mergeCell ref="R1:S1"/>
    <mergeCell ref="H1:Q1"/>
    <mergeCell ref="B1:C1"/>
    <mergeCell ref="D1:G1"/>
    <mergeCell ref="T1:U1"/>
  </mergeCells>
  <phoneticPr fontId="11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613D9-CC78-4392-AC94-124D3ED43751}">
  <dimension ref="A1:Z7"/>
  <sheetViews>
    <sheetView workbookViewId="0">
      <selection activeCell="C11" sqref="C11"/>
    </sheetView>
  </sheetViews>
  <sheetFormatPr baseColWidth="10" defaultRowHeight="12.75" x14ac:dyDescent="0.2"/>
  <cols>
    <col min="1" max="16384" width="11.42578125" style="67"/>
  </cols>
  <sheetData>
    <row r="1" spans="1:26" x14ac:dyDescent="0.2">
      <c r="A1" s="83" t="s">
        <v>135</v>
      </c>
    </row>
    <row r="2" spans="1:26" x14ac:dyDescent="0.2">
      <c r="A2" s="83"/>
      <c r="B2" s="82" t="s">
        <v>134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</row>
    <row r="3" spans="1:26" x14ac:dyDescent="0.2">
      <c r="B3" s="78" t="s">
        <v>133</v>
      </c>
      <c r="C3" s="77"/>
      <c r="D3" s="79" t="s">
        <v>132</v>
      </c>
      <c r="E3" s="77"/>
      <c r="F3" s="78" t="s">
        <v>131</v>
      </c>
      <c r="G3" s="77"/>
      <c r="H3" s="79" t="s">
        <v>130</v>
      </c>
      <c r="I3" s="77"/>
      <c r="J3" s="80" t="s">
        <v>129</v>
      </c>
      <c r="K3" s="80"/>
      <c r="L3" s="79" t="s">
        <v>128</v>
      </c>
      <c r="M3" s="77"/>
      <c r="N3" s="78" t="s">
        <v>127</v>
      </c>
      <c r="O3" s="77"/>
      <c r="P3" s="79" t="s">
        <v>126</v>
      </c>
      <c r="Q3" s="77"/>
      <c r="R3" s="78" t="s">
        <v>125</v>
      </c>
      <c r="S3" s="77"/>
      <c r="T3" s="78" t="s">
        <v>124</v>
      </c>
      <c r="U3" s="77"/>
      <c r="V3" s="79" t="s">
        <v>123</v>
      </c>
      <c r="W3" s="77"/>
      <c r="X3" s="78" t="s">
        <v>122</v>
      </c>
      <c r="Y3" s="77"/>
      <c r="Z3" s="76" t="s">
        <v>121</v>
      </c>
    </row>
    <row r="4" spans="1:26" x14ac:dyDescent="0.2">
      <c r="B4" s="75" t="s">
        <v>0</v>
      </c>
      <c r="C4" s="70"/>
      <c r="D4" s="75" t="s">
        <v>120</v>
      </c>
      <c r="E4" s="70"/>
      <c r="F4" s="75" t="s">
        <v>119</v>
      </c>
      <c r="G4" s="70"/>
      <c r="H4" s="75" t="s">
        <v>118</v>
      </c>
      <c r="I4" s="70"/>
      <c r="J4" s="74" t="s">
        <v>117</v>
      </c>
      <c r="K4" s="70"/>
      <c r="L4" s="74" t="s">
        <v>116</v>
      </c>
      <c r="M4" s="70"/>
      <c r="N4" s="74" t="s">
        <v>115</v>
      </c>
      <c r="O4" s="70"/>
      <c r="P4" s="74" t="s">
        <v>114</v>
      </c>
      <c r="Q4" s="70"/>
      <c r="R4" s="74" t="s">
        <v>113</v>
      </c>
      <c r="S4" s="70"/>
      <c r="T4" s="73" t="s">
        <v>112</v>
      </c>
      <c r="U4" s="70"/>
      <c r="V4" s="72" t="s">
        <v>111</v>
      </c>
      <c r="W4" s="70"/>
      <c r="X4" s="71" t="s">
        <v>110</v>
      </c>
      <c r="Y4" s="70"/>
      <c r="Z4" s="69" t="s">
        <v>109</v>
      </c>
    </row>
    <row r="5" spans="1:26" x14ac:dyDescent="0.2">
      <c r="A5" s="68" t="s">
        <v>108</v>
      </c>
      <c r="B5" s="67">
        <f>ROUNDUP((COUNTA([1]Planning!B6:C22)/2),0)*3000</f>
        <v>9000</v>
      </c>
      <c r="D5" s="67">
        <f>ROUNDUP((COUNTA([1]Planning!D6:E22)/2),0)*3000</f>
        <v>15000</v>
      </c>
      <c r="F5" s="67">
        <f>ROUNDUP((COUNTA([1]Planning!F6:G22)/2),0)*3000</f>
        <v>21000</v>
      </c>
      <c r="H5" s="67">
        <f>ROUNDUP((COUNTA([1]Planning!H6:I22)/2),0)*3000</f>
        <v>21000</v>
      </c>
      <c r="J5" s="67">
        <f>ROUNDUP((COUNTA([1]Planning!J6:K22)/2),0)*3000</f>
        <v>27000</v>
      </c>
      <c r="L5" s="67">
        <f>ROUNDUP((COUNTA([1]Planning!L6:M22)/2),0)*3000</f>
        <v>27000</v>
      </c>
      <c r="N5" s="67">
        <f>ROUNDUP((COUNTA([1]Planning!N6:O22)/2),0)*3000</f>
        <v>30000</v>
      </c>
      <c r="P5" s="67">
        <f>ROUNDUP((COUNTA([1]Planning!P6:Q22)/2),0)*3000</f>
        <v>30000</v>
      </c>
      <c r="R5" s="67">
        <f>ROUNDUP((COUNTA([1]Planning!R6:S22)/2),0)*3000</f>
        <v>27000</v>
      </c>
      <c r="T5" s="67">
        <f>ROUNDUP((COUNTA([1]Planning!T6:U22)/2),0)*3000</f>
        <v>27000</v>
      </c>
      <c r="V5" s="67">
        <f>ROUNDUP((COUNTA([1]Planning!V6:W22)/2),0)*3000</f>
        <v>18000</v>
      </c>
      <c r="X5" s="67">
        <f>ROUNDUP((COUNTA([1]Planning!X6:Y22)/2),0)*3000</f>
        <v>18000</v>
      </c>
      <c r="Z5" s="67">
        <f>ROUNDUP((COUNTA([1]Planning!Z6:AA22)),0)*3000</f>
        <v>18000</v>
      </c>
    </row>
    <row r="6" spans="1:26" x14ac:dyDescent="0.2">
      <c r="A6" s="68" t="s">
        <v>107</v>
      </c>
      <c r="B6" s="67">
        <f>SUM(B5:C5)</f>
        <v>9000</v>
      </c>
      <c r="D6" s="67">
        <f>SUM(D5:I5)</f>
        <v>57000</v>
      </c>
      <c r="J6" s="67">
        <f>SUM(J5:S5)</f>
        <v>141000</v>
      </c>
      <c r="T6" s="67">
        <f>SUM(T5:U5)</f>
        <v>27000</v>
      </c>
      <c r="V6" s="67">
        <f>SUM(V5:W5)</f>
        <v>18000</v>
      </c>
      <c r="X6" s="67">
        <f>SUM(X5:Y5)</f>
        <v>18000</v>
      </c>
      <c r="Z6" s="67">
        <f>SUM(Z5)</f>
        <v>18000</v>
      </c>
    </row>
    <row r="7" spans="1:26" x14ac:dyDescent="0.2">
      <c r="A7" s="68" t="s">
        <v>106</v>
      </c>
      <c r="B7" s="67">
        <f>SUM(B6:Z6)</f>
        <v>288000</v>
      </c>
    </row>
  </sheetData>
  <mergeCells count="24">
    <mergeCell ref="B3:C3"/>
    <mergeCell ref="D3:E3"/>
    <mergeCell ref="F3:G3"/>
    <mergeCell ref="H3:I3"/>
    <mergeCell ref="T3:U3"/>
    <mergeCell ref="V3:W3"/>
    <mergeCell ref="X3:Y3"/>
    <mergeCell ref="B4:C4"/>
    <mergeCell ref="D4:E4"/>
    <mergeCell ref="F4:G4"/>
    <mergeCell ref="L3:M3"/>
    <mergeCell ref="N3:O3"/>
    <mergeCell ref="H4:I4"/>
    <mergeCell ref="J4:K4"/>
    <mergeCell ref="X4:Y4"/>
    <mergeCell ref="B2:Z2"/>
    <mergeCell ref="L4:M4"/>
    <mergeCell ref="N4:O4"/>
    <mergeCell ref="P4:Q4"/>
    <mergeCell ref="R4:S4"/>
    <mergeCell ref="T4:U4"/>
    <mergeCell ref="V4:W4"/>
    <mergeCell ref="P3:Q3"/>
    <mergeCell ref="R3: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 Ruta</vt:lpstr>
      <vt:lpstr>Presupuesto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Raluy</dc:creator>
  <cp:lastModifiedBy>Endika Fernández Olabarrieta</cp:lastModifiedBy>
  <dcterms:created xsi:type="dcterms:W3CDTF">2015-06-05T18:19:34Z</dcterms:created>
  <dcterms:modified xsi:type="dcterms:W3CDTF">2026-05-30T11:51:54Z</dcterms:modified>
</cp:coreProperties>
</file>